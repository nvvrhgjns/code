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ying/Desktop/Masterarbeit/thesis/data/"/>
    </mc:Choice>
  </mc:AlternateContent>
  <xr:revisionPtr revIDLastSave="0" documentId="8_{877A2240-5EC6-FE4F-B170-486695DC423E}" xr6:coauthVersionLast="47" xr6:coauthVersionMax="47" xr10:uidLastSave="{00000000-0000-0000-0000-000000000000}"/>
  <bookViews>
    <workbookView xWindow="920" yWindow="500" windowWidth="28240" windowHeight="16340" xr2:uid="{ACB469D0-9314-5B46-84A2-441A881B4F5B}"/>
  </bookViews>
  <sheets>
    <sheet name="Tabelle7" sheetId="2" r:id="rId1"/>
    <sheet name="Tabelle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K2" i="2"/>
  <c r="L2" i="2"/>
  <c r="M2" i="2"/>
  <c r="J3" i="2"/>
  <c r="K3" i="2"/>
  <c r="L3" i="2"/>
  <c r="M3" i="2"/>
  <c r="J4" i="2"/>
  <c r="K4" i="2"/>
  <c r="L4" i="2"/>
  <c r="M4" i="2"/>
  <c r="J5" i="2"/>
  <c r="K5" i="2"/>
  <c r="L5" i="2"/>
  <c r="M5" i="2"/>
  <c r="J6" i="2"/>
  <c r="K6" i="2"/>
  <c r="L6" i="2"/>
  <c r="M6" i="2"/>
  <c r="J7" i="2"/>
  <c r="K7" i="2"/>
  <c r="L7" i="2"/>
  <c r="M7" i="2"/>
  <c r="J8" i="2"/>
  <c r="K8" i="2"/>
  <c r="L8" i="2"/>
  <c r="M8" i="2"/>
  <c r="J9" i="2"/>
  <c r="K9" i="2"/>
  <c r="L9" i="2"/>
  <c r="M9" i="2"/>
  <c r="J10" i="2"/>
  <c r="K10" i="2"/>
  <c r="L10" i="2"/>
  <c r="M10" i="2"/>
  <c r="J11" i="2"/>
  <c r="K11" i="2"/>
  <c r="L11" i="2"/>
  <c r="M11" i="2"/>
  <c r="J12" i="2"/>
  <c r="K12" i="2"/>
  <c r="L12" i="2"/>
  <c r="M12" i="2"/>
  <c r="J13" i="2"/>
  <c r="K13" i="2"/>
  <c r="L13" i="2"/>
  <c r="M13" i="2"/>
  <c r="J14" i="2"/>
  <c r="K14" i="2"/>
  <c r="L14" i="2"/>
  <c r="M14" i="2"/>
  <c r="J15" i="2"/>
  <c r="K15" i="2"/>
  <c r="L15" i="2"/>
  <c r="M15" i="2"/>
  <c r="J16" i="2"/>
  <c r="K16" i="2"/>
  <c r="L16" i="2"/>
  <c r="M16" i="2"/>
  <c r="J17" i="2"/>
  <c r="K17" i="2"/>
  <c r="L17" i="2"/>
  <c r="M17" i="2"/>
  <c r="J18" i="2"/>
  <c r="K18" i="2"/>
  <c r="L18" i="2"/>
  <c r="M18" i="2"/>
  <c r="J19" i="2"/>
  <c r="K19" i="2"/>
  <c r="L19" i="2"/>
  <c r="M19" i="2"/>
  <c r="J20" i="2"/>
  <c r="K20" i="2"/>
  <c r="L20" i="2"/>
  <c r="M20" i="2"/>
  <c r="J21" i="2"/>
  <c r="K21" i="2"/>
  <c r="L21" i="2"/>
  <c r="M21" i="2"/>
  <c r="J22" i="2"/>
  <c r="K22" i="2"/>
  <c r="L22" i="2"/>
  <c r="M22" i="2"/>
  <c r="J23" i="2"/>
  <c r="K23" i="2"/>
  <c r="L23" i="2"/>
  <c r="M23" i="2"/>
  <c r="J24" i="2"/>
  <c r="K24" i="2"/>
  <c r="L24" i="2"/>
  <c r="M24" i="2"/>
  <c r="J25" i="2"/>
  <c r="K25" i="2"/>
  <c r="L25" i="2"/>
  <c r="M25" i="2"/>
  <c r="J26" i="2"/>
  <c r="K26" i="2"/>
  <c r="L26" i="2"/>
  <c r="M26" i="2"/>
  <c r="J27" i="2"/>
  <c r="K27" i="2"/>
  <c r="L27" i="2"/>
  <c r="M27" i="2"/>
  <c r="J28" i="2"/>
  <c r="K28" i="2"/>
  <c r="L28" i="2"/>
  <c r="M28" i="2"/>
  <c r="J29" i="2"/>
  <c r="K29" i="2"/>
  <c r="L29" i="2"/>
  <c r="M29" i="2"/>
  <c r="J30" i="2"/>
  <c r="K30" i="2"/>
  <c r="L30" i="2"/>
  <c r="M30" i="2"/>
  <c r="J31" i="2"/>
  <c r="K31" i="2"/>
  <c r="L31" i="2"/>
  <c r="M31" i="2"/>
  <c r="J32" i="2"/>
  <c r="K32" i="2"/>
  <c r="L32" i="2"/>
  <c r="M32" i="2"/>
  <c r="J33" i="2"/>
  <c r="K33" i="2"/>
  <c r="L33" i="2"/>
  <c r="M33" i="2"/>
  <c r="J34" i="2"/>
  <c r="K34" i="2"/>
  <c r="L34" i="2"/>
  <c r="M34" i="2"/>
  <c r="J35" i="2"/>
  <c r="K35" i="2"/>
  <c r="L35" i="2"/>
  <c r="M35" i="2"/>
  <c r="J36" i="2"/>
  <c r="K36" i="2"/>
  <c r="L36" i="2"/>
  <c r="M36" i="2"/>
  <c r="J37" i="2"/>
  <c r="K37" i="2"/>
  <c r="L37" i="2"/>
  <c r="M37" i="2"/>
  <c r="J38" i="2"/>
  <c r="K38" i="2"/>
  <c r="L38" i="2"/>
  <c r="M38" i="2"/>
  <c r="J39" i="2"/>
  <c r="K39" i="2"/>
  <c r="L39" i="2"/>
  <c r="M39" i="2"/>
  <c r="J40" i="2"/>
  <c r="K40" i="2"/>
  <c r="L40" i="2"/>
  <c r="M40" i="2"/>
  <c r="J41" i="2"/>
  <c r="K41" i="2"/>
  <c r="L41" i="2"/>
  <c r="M41" i="2"/>
  <c r="J42" i="2"/>
  <c r="K42" i="2"/>
  <c r="L42" i="2"/>
  <c r="M42" i="2"/>
  <c r="J43" i="2"/>
  <c r="K43" i="2"/>
  <c r="L43" i="2"/>
  <c r="M43" i="2"/>
  <c r="J44" i="2"/>
  <c r="K44" i="2"/>
  <c r="L44" i="2"/>
  <c r="M44" i="2"/>
  <c r="J45" i="2"/>
  <c r="K45" i="2"/>
  <c r="L45" i="2"/>
  <c r="M45" i="2"/>
  <c r="J46" i="2"/>
  <c r="K46" i="2"/>
  <c r="L46" i="2"/>
  <c r="M46" i="2"/>
  <c r="J47" i="2"/>
  <c r="K47" i="2"/>
  <c r="L47" i="2"/>
  <c r="M47" i="2"/>
  <c r="J48" i="2"/>
  <c r="K48" i="2"/>
  <c r="L48" i="2"/>
  <c r="M48" i="2"/>
  <c r="J49" i="2"/>
  <c r="K49" i="2"/>
  <c r="L49" i="2"/>
  <c r="M49" i="2"/>
  <c r="J50" i="2"/>
  <c r="K50" i="2"/>
  <c r="L50" i="2"/>
  <c r="M50" i="2"/>
  <c r="J51" i="2"/>
  <c r="K51" i="2"/>
  <c r="L51" i="2"/>
  <c r="M51" i="2"/>
  <c r="J52" i="2"/>
  <c r="K52" i="2"/>
  <c r="L52" i="2"/>
  <c r="M52" i="2"/>
  <c r="J53" i="2"/>
  <c r="K53" i="2"/>
  <c r="L53" i="2"/>
  <c r="M53" i="2"/>
  <c r="J54" i="2"/>
  <c r="K54" i="2"/>
  <c r="L54" i="2"/>
  <c r="M54" i="2"/>
  <c r="J55" i="2"/>
  <c r="K55" i="2"/>
  <c r="L55" i="2"/>
  <c r="M55" i="2"/>
  <c r="J56" i="2"/>
  <c r="K56" i="2"/>
  <c r="L56" i="2"/>
  <c r="M56" i="2"/>
  <c r="J57" i="2"/>
  <c r="K57" i="2"/>
  <c r="L57" i="2"/>
  <c r="M57" i="2"/>
  <c r="J58" i="2"/>
  <c r="K58" i="2"/>
  <c r="L58" i="2"/>
  <c r="M58" i="2"/>
  <c r="J59" i="2"/>
  <c r="K59" i="2"/>
  <c r="L59" i="2"/>
  <c r="M59" i="2"/>
  <c r="J60" i="2"/>
  <c r="K60" i="2"/>
  <c r="L60" i="2"/>
  <c r="M60" i="2"/>
  <c r="J61" i="2"/>
  <c r="K61" i="2"/>
  <c r="L61" i="2"/>
  <c r="M61" i="2"/>
  <c r="J62" i="2"/>
  <c r="K62" i="2"/>
  <c r="L62" i="2"/>
  <c r="M62" i="2"/>
  <c r="J63" i="2"/>
  <c r="K63" i="2"/>
  <c r="L63" i="2"/>
  <c r="M63" i="2"/>
  <c r="J64" i="2"/>
  <c r="K64" i="2"/>
  <c r="L64" i="2"/>
  <c r="M64" i="2"/>
  <c r="J65" i="2"/>
  <c r="K65" i="2"/>
  <c r="L65" i="2"/>
  <c r="M65" i="2"/>
  <c r="J66" i="2"/>
  <c r="K66" i="2"/>
  <c r="L66" i="2"/>
  <c r="M66" i="2"/>
  <c r="J67" i="2"/>
  <c r="K67" i="2"/>
  <c r="L67" i="2"/>
  <c r="M67" i="2"/>
  <c r="J68" i="2"/>
  <c r="K68" i="2"/>
  <c r="L68" i="2"/>
  <c r="M68" i="2"/>
  <c r="J69" i="2"/>
  <c r="K69" i="2"/>
  <c r="L69" i="2"/>
  <c r="M69" i="2"/>
  <c r="J70" i="2"/>
  <c r="K70" i="2"/>
  <c r="L70" i="2"/>
  <c r="M70" i="2"/>
  <c r="J71" i="2"/>
  <c r="K71" i="2"/>
  <c r="L71" i="2"/>
  <c r="M71" i="2"/>
  <c r="J72" i="2"/>
  <c r="K72" i="2"/>
  <c r="L72" i="2"/>
  <c r="M72" i="2"/>
  <c r="J73" i="2"/>
  <c r="K73" i="2"/>
  <c r="L73" i="2"/>
  <c r="M73" i="2"/>
  <c r="J74" i="2"/>
  <c r="K74" i="2"/>
  <c r="L74" i="2"/>
  <c r="M74" i="2"/>
  <c r="J75" i="2"/>
  <c r="K75" i="2"/>
  <c r="L75" i="2"/>
  <c r="M75" i="2"/>
  <c r="J76" i="2"/>
  <c r="K76" i="2"/>
  <c r="L76" i="2"/>
  <c r="M76" i="2"/>
  <c r="J77" i="2"/>
  <c r="K77" i="2"/>
  <c r="L77" i="2"/>
  <c r="M77" i="2"/>
  <c r="J78" i="2"/>
  <c r="K78" i="2"/>
  <c r="L78" i="2"/>
  <c r="M78" i="2"/>
  <c r="J79" i="2"/>
  <c r="K79" i="2"/>
  <c r="L79" i="2"/>
  <c r="M79" i="2"/>
  <c r="J80" i="2"/>
  <c r="K80" i="2"/>
  <c r="L80" i="2"/>
  <c r="M80" i="2"/>
  <c r="J81" i="2"/>
  <c r="K81" i="2"/>
  <c r="L81" i="2"/>
  <c r="M81" i="2"/>
  <c r="J82" i="2"/>
  <c r="K82" i="2"/>
  <c r="L82" i="2"/>
  <c r="M82" i="2"/>
  <c r="J83" i="2"/>
  <c r="K83" i="2"/>
  <c r="L83" i="2"/>
  <c r="M83" i="2"/>
  <c r="J84" i="2"/>
  <c r="K84" i="2"/>
  <c r="L84" i="2"/>
  <c r="M84" i="2"/>
  <c r="J85" i="2"/>
  <c r="K85" i="2"/>
  <c r="L85" i="2"/>
  <c r="M85" i="2"/>
  <c r="J86" i="2"/>
  <c r="K86" i="2"/>
  <c r="L86" i="2"/>
  <c r="M86" i="2"/>
  <c r="J87" i="2"/>
  <c r="K87" i="2"/>
  <c r="L87" i="2"/>
  <c r="M87" i="2"/>
  <c r="J88" i="2"/>
  <c r="K88" i="2"/>
  <c r="L88" i="2"/>
  <c r="M88" i="2"/>
  <c r="J89" i="2"/>
  <c r="K89" i="2"/>
  <c r="L89" i="2"/>
  <c r="M89" i="2"/>
  <c r="J90" i="2"/>
  <c r="K90" i="2"/>
  <c r="L90" i="2"/>
  <c r="M90" i="2"/>
  <c r="J91" i="2"/>
  <c r="K91" i="2"/>
  <c r="L91" i="2"/>
  <c r="M91" i="2"/>
  <c r="J92" i="2"/>
  <c r="K92" i="2"/>
  <c r="L92" i="2"/>
  <c r="M92" i="2"/>
  <c r="J93" i="2"/>
  <c r="K93" i="2"/>
  <c r="L93" i="2"/>
  <c r="M93" i="2"/>
  <c r="J94" i="2"/>
  <c r="K94" i="2"/>
  <c r="L94" i="2"/>
  <c r="M94" i="2"/>
  <c r="J95" i="2"/>
  <c r="K95" i="2"/>
  <c r="L95" i="2"/>
  <c r="M95" i="2"/>
  <c r="J96" i="2"/>
  <c r="K96" i="2"/>
  <c r="L96" i="2"/>
  <c r="M96" i="2"/>
  <c r="J97" i="2"/>
  <c r="K97" i="2"/>
  <c r="L97" i="2"/>
  <c r="M97" i="2"/>
  <c r="J98" i="2"/>
  <c r="K98" i="2"/>
  <c r="L98" i="2"/>
  <c r="M98" i="2"/>
  <c r="J99" i="2"/>
  <c r="K99" i="2"/>
  <c r="L99" i="2"/>
  <c r="M99" i="2"/>
  <c r="J100" i="2"/>
  <c r="K100" i="2"/>
  <c r="L100" i="2"/>
  <c r="M100" i="2"/>
  <c r="J101" i="2"/>
  <c r="K101" i="2"/>
  <c r="L101" i="2"/>
  <c r="M101" i="2"/>
  <c r="J102" i="2"/>
  <c r="K102" i="2"/>
  <c r="L102" i="2"/>
  <c r="M102" i="2"/>
  <c r="J103" i="2"/>
  <c r="K103" i="2"/>
  <c r="L103" i="2"/>
  <c r="M103" i="2"/>
  <c r="J104" i="2"/>
  <c r="K104" i="2"/>
  <c r="L104" i="2"/>
  <c r="M104" i="2"/>
  <c r="J105" i="2"/>
  <c r="K105" i="2"/>
  <c r="L105" i="2"/>
  <c r="M105" i="2"/>
  <c r="J106" i="2"/>
  <c r="K106" i="2"/>
  <c r="L106" i="2"/>
  <c r="M106" i="2"/>
  <c r="J107" i="2"/>
  <c r="K107" i="2"/>
  <c r="L107" i="2"/>
  <c r="M107" i="2"/>
  <c r="J108" i="2"/>
  <c r="K108" i="2"/>
  <c r="L108" i="2"/>
  <c r="M108" i="2"/>
  <c r="J109" i="2"/>
  <c r="K109" i="2"/>
  <c r="L109" i="2"/>
  <c r="M109" i="2"/>
  <c r="J110" i="2"/>
  <c r="K110" i="2"/>
  <c r="L110" i="2"/>
  <c r="M110" i="2"/>
  <c r="J111" i="2"/>
  <c r="K111" i="2"/>
  <c r="L111" i="2"/>
  <c r="M111" i="2"/>
  <c r="J112" i="2"/>
  <c r="K112" i="2"/>
  <c r="L112" i="2"/>
  <c r="M112" i="2"/>
  <c r="J113" i="2"/>
  <c r="K113" i="2"/>
  <c r="L113" i="2"/>
  <c r="M113" i="2"/>
  <c r="J114" i="2"/>
  <c r="K114" i="2"/>
  <c r="L114" i="2"/>
  <c r="M114" i="2"/>
  <c r="J115" i="2"/>
  <c r="K115" i="2"/>
  <c r="L115" i="2"/>
  <c r="M115" i="2"/>
  <c r="J116" i="2"/>
  <c r="K116" i="2"/>
  <c r="L116" i="2"/>
  <c r="M116" i="2"/>
  <c r="J117" i="2"/>
  <c r="K117" i="2"/>
  <c r="L117" i="2"/>
  <c r="M117" i="2"/>
  <c r="J118" i="2"/>
  <c r="K118" i="2"/>
  <c r="L118" i="2"/>
  <c r="M118" i="2"/>
  <c r="J119" i="2"/>
  <c r="K119" i="2"/>
  <c r="L119" i="2"/>
  <c r="M119" i="2"/>
  <c r="J120" i="2"/>
  <c r="K120" i="2"/>
  <c r="L120" i="2"/>
  <c r="M120" i="2"/>
  <c r="J121" i="2"/>
  <c r="K121" i="2"/>
  <c r="L121" i="2"/>
  <c r="M121" i="2"/>
  <c r="J122" i="2"/>
  <c r="K122" i="2"/>
  <c r="L122" i="2"/>
  <c r="M122" i="2"/>
  <c r="J123" i="2"/>
  <c r="K123" i="2"/>
  <c r="L123" i="2"/>
  <c r="M123" i="2"/>
  <c r="J124" i="2"/>
  <c r="K124" i="2"/>
  <c r="L124" i="2"/>
  <c r="M124" i="2"/>
  <c r="J125" i="2"/>
  <c r="K125" i="2"/>
  <c r="L125" i="2"/>
  <c r="M125" i="2"/>
  <c r="J126" i="2"/>
  <c r="K126" i="2"/>
  <c r="L126" i="2"/>
  <c r="M126" i="2"/>
  <c r="J127" i="2"/>
  <c r="K127" i="2"/>
  <c r="L127" i="2"/>
  <c r="M127" i="2"/>
  <c r="J128" i="2"/>
  <c r="K128" i="2"/>
  <c r="L128" i="2"/>
  <c r="M128" i="2"/>
  <c r="J129" i="2"/>
  <c r="K129" i="2"/>
  <c r="L129" i="2"/>
  <c r="M129" i="2"/>
  <c r="J130" i="2"/>
  <c r="K130" i="2"/>
  <c r="L130" i="2"/>
  <c r="M130" i="2"/>
  <c r="J131" i="2"/>
  <c r="K131" i="2"/>
  <c r="L131" i="2"/>
  <c r="M131" i="2"/>
  <c r="J132" i="2"/>
  <c r="K132" i="2"/>
  <c r="L132" i="2"/>
  <c r="M132" i="2"/>
  <c r="J133" i="2"/>
  <c r="K133" i="2"/>
  <c r="L133" i="2"/>
  <c r="M133" i="2"/>
  <c r="J134" i="2"/>
  <c r="K134" i="2"/>
  <c r="L134" i="2"/>
  <c r="M134" i="2"/>
  <c r="J135" i="2"/>
  <c r="K135" i="2"/>
  <c r="L135" i="2"/>
  <c r="M135" i="2"/>
  <c r="J136" i="2"/>
  <c r="K136" i="2"/>
  <c r="L136" i="2"/>
  <c r="M136" i="2"/>
  <c r="J137" i="2"/>
  <c r="K137" i="2"/>
  <c r="L137" i="2"/>
  <c r="M137" i="2"/>
  <c r="J138" i="2"/>
  <c r="K138" i="2"/>
  <c r="L138" i="2"/>
  <c r="M138" i="2"/>
  <c r="J139" i="2"/>
  <c r="K139" i="2"/>
  <c r="L139" i="2"/>
  <c r="M139" i="2"/>
  <c r="J140" i="2"/>
  <c r="K140" i="2"/>
  <c r="L140" i="2"/>
  <c r="M140" i="2"/>
  <c r="J141" i="2"/>
  <c r="K141" i="2"/>
  <c r="L141" i="2"/>
  <c r="M141" i="2"/>
  <c r="J142" i="2"/>
  <c r="K142" i="2"/>
  <c r="L142" i="2"/>
  <c r="M142" i="2"/>
  <c r="J143" i="2"/>
  <c r="K143" i="2"/>
  <c r="L143" i="2"/>
  <c r="M143" i="2"/>
</calcChain>
</file>

<file path=xl/sharedStrings.xml><?xml version="1.0" encoding="utf-8"?>
<sst xmlns="http://schemas.openxmlformats.org/spreadsheetml/2006/main" count="162" uniqueCount="162">
  <si>
    <t>2025:Q1</t>
  </si>
  <si>
    <t>2024:Q4</t>
  </si>
  <si>
    <t>2024:Q3</t>
  </si>
  <si>
    <t>2024:Q2</t>
  </si>
  <si>
    <t>2024:Q1</t>
  </si>
  <si>
    <t>2023:Q4</t>
  </si>
  <si>
    <t>2023:Q3</t>
  </si>
  <si>
    <t>2023:Q2</t>
  </si>
  <si>
    <t>2023:Q1</t>
  </si>
  <si>
    <t>2022:Q4</t>
  </si>
  <si>
    <t>2022:Q3</t>
  </si>
  <si>
    <t>2022:Q2</t>
  </si>
  <si>
    <t>2022:Q1</t>
  </si>
  <si>
    <t>2021:Q4</t>
  </si>
  <si>
    <t>2021:Q3</t>
  </si>
  <si>
    <t>2021:Q2</t>
  </si>
  <si>
    <t>2021:Q1</t>
  </si>
  <si>
    <t>2020:Q4</t>
  </si>
  <si>
    <t>2020:Q3</t>
  </si>
  <si>
    <t>2020:Q2</t>
  </si>
  <si>
    <t>2020:Q1</t>
  </si>
  <si>
    <t>2019:Q4</t>
  </si>
  <si>
    <t>2019:Q3</t>
  </si>
  <si>
    <t>2019:Q2</t>
  </si>
  <si>
    <t>2019:Q1</t>
  </si>
  <si>
    <t>2018:Q4</t>
  </si>
  <si>
    <t>2018:Q3</t>
  </si>
  <si>
    <t>2018:Q2</t>
  </si>
  <si>
    <t>2018:Q1</t>
  </si>
  <si>
    <t>2017:Q4</t>
  </si>
  <si>
    <t>2017:Q3</t>
  </si>
  <si>
    <t>2017:Q2</t>
  </si>
  <si>
    <t>2017:Q1</t>
  </si>
  <si>
    <t>2016:Q4</t>
  </si>
  <si>
    <t>2016:Q3</t>
  </si>
  <si>
    <t>2016:Q2</t>
  </si>
  <si>
    <t>2016:Q1</t>
  </si>
  <si>
    <t>2015:Q4</t>
  </si>
  <si>
    <t>2015:Q3</t>
  </si>
  <si>
    <t>2015:Q2</t>
  </si>
  <si>
    <t>2015:Q1</t>
  </si>
  <si>
    <t>2014:Q4</t>
  </si>
  <si>
    <t>2014:Q3</t>
  </si>
  <si>
    <t>2014:Q2</t>
  </si>
  <si>
    <t>2014:Q1</t>
  </si>
  <si>
    <t>2013:Q4</t>
  </si>
  <si>
    <t>2013:Q3</t>
  </si>
  <si>
    <t>2013:Q2</t>
  </si>
  <si>
    <t>2013:Q1</t>
  </si>
  <si>
    <t>2012:Q4</t>
  </si>
  <si>
    <t>2012:Q3</t>
  </si>
  <si>
    <t>2012:Q2</t>
  </si>
  <si>
    <t>2012:Q1</t>
  </si>
  <si>
    <t>2011:Q4</t>
  </si>
  <si>
    <t>2011:Q3</t>
  </si>
  <si>
    <t>2011:Q2</t>
  </si>
  <si>
    <t>2011:Q1</t>
  </si>
  <si>
    <t>2010:Q4</t>
  </si>
  <si>
    <t>2010:Q3</t>
  </si>
  <si>
    <t>2010:Q2</t>
  </si>
  <si>
    <t>2010:Q1</t>
  </si>
  <si>
    <t>2009:Q4</t>
  </si>
  <si>
    <t>2009:Q3</t>
  </si>
  <si>
    <t>2009:Q2</t>
  </si>
  <si>
    <t>2009:Q1</t>
  </si>
  <si>
    <t>2008:Q4</t>
  </si>
  <si>
    <t>2008:Q3</t>
  </si>
  <si>
    <t>2008:Q2</t>
  </si>
  <si>
    <t>2008:Q1</t>
  </si>
  <si>
    <t>2007:Q4</t>
  </si>
  <si>
    <t>2007:Q3</t>
  </si>
  <si>
    <t>2007:Q2</t>
  </si>
  <si>
    <t>2007:Q1</t>
  </si>
  <si>
    <t>2006:Q4</t>
  </si>
  <si>
    <t>2006:Q3</t>
  </si>
  <si>
    <t>2006:Q2</t>
  </si>
  <si>
    <t>2006:Q1</t>
  </si>
  <si>
    <t>2005:Q4</t>
  </si>
  <si>
    <t>2005:Q3</t>
  </si>
  <si>
    <t>2005:Q2</t>
  </si>
  <si>
    <t>2005:Q1</t>
  </si>
  <si>
    <t>2004:Q4</t>
  </si>
  <si>
    <t>2004:Q3</t>
  </si>
  <si>
    <t>2004:Q2</t>
  </si>
  <si>
    <t>2004:Q1</t>
  </si>
  <si>
    <t>2003:Q4</t>
  </si>
  <si>
    <t>2003:Q3</t>
  </si>
  <si>
    <t>2003:Q2</t>
  </si>
  <si>
    <t>2003:Q1</t>
  </si>
  <si>
    <t>2002:Q4</t>
  </si>
  <si>
    <t>2002:Q3</t>
  </si>
  <si>
    <t>2002:Q2</t>
  </si>
  <si>
    <t>2002:Q1</t>
  </si>
  <si>
    <t>2001:Q4</t>
  </si>
  <si>
    <t>2001:Q3</t>
  </si>
  <si>
    <t>2001:Q2</t>
  </si>
  <si>
    <t>2001:Q1</t>
  </si>
  <si>
    <t>2000:Q4</t>
  </si>
  <si>
    <t>2000:Q3</t>
  </si>
  <si>
    <t>2000:Q2</t>
  </si>
  <si>
    <t>2000:Q1</t>
  </si>
  <si>
    <t>1999:Q4</t>
  </si>
  <si>
    <t>1999:Q3</t>
  </si>
  <si>
    <t>1999:Q2</t>
  </si>
  <si>
    <t>1999:Q1</t>
  </si>
  <si>
    <t>1998:Q4</t>
  </si>
  <si>
    <t>1998:Q3</t>
  </si>
  <si>
    <t>1998:Q2</t>
  </si>
  <si>
    <t>1998:Q1</t>
  </si>
  <si>
    <t>1997:Q4</t>
  </si>
  <si>
    <t>1997:Q3</t>
  </si>
  <si>
    <t>1997:Q2</t>
  </si>
  <si>
    <t>1997:Q1</t>
  </si>
  <si>
    <t>1996:Q4</t>
  </si>
  <si>
    <t>1996:Q3</t>
  </si>
  <si>
    <t>1996:Q2</t>
  </si>
  <si>
    <t>1996:Q1</t>
  </si>
  <si>
    <t>1995:Q4</t>
  </si>
  <si>
    <t>1995:Q3</t>
  </si>
  <si>
    <t>1995:Q2</t>
  </si>
  <si>
    <t>1995:Q1</t>
  </si>
  <si>
    <t>1994:Q4</t>
  </si>
  <si>
    <t>1994:Q3</t>
  </si>
  <si>
    <t>1994:Q2</t>
  </si>
  <si>
    <t>1994:Q1</t>
  </si>
  <si>
    <t>1993:Q4</t>
  </si>
  <si>
    <t>1993:Q3</t>
  </si>
  <si>
    <t>1993:Q2</t>
  </si>
  <si>
    <t>1993:Q1</t>
  </si>
  <si>
    <t>1992:Q4</t>
  </si>
  <si>
    <t>1992:Q3</t>
  </si>
  <si>
    <t>1992:Q2</t>
  </si>
  <si>
    <t>1992:Q1</t>
  </si>
  <si>
    <t>1991:Q4</t>
  </si>
  <si>
    <t>1991:Q3</t>
  </si>
  <si>
    <t>1991:Q2</t>
  </si>
  <si>
    <t>1991:Q1</t>
  </si>
  <si>
    <t>1990:Q4</t>
  </si>
  <si>
    <t>1990:Q3</t>
  </si>
  <si>
    <t>1990:Q2</t>
  </si>
  <si>
    <t>1990:Q1</t>
  </si>
  <si>
    <t>1989:Q4</t>
  </si>
  <si>
    <t>emp</t>
  </si>
  <si>
    <t>housep</t>
  </si>
  <si>
    <t>dtfp_util</t>
  </si>
  <si>
    <t>stockp_sh</t>
  </si>
  <si>
    <t>tothours</t>
  </si>
  <si>
    <t>laborproductivity</t>
  </si>
  <si>
    <t>pop</t>
  </si>
  <si>
    <t>rcons_durable</t>
  </si>
  <si>
    <t>rcons_services</t>
  </si>
  <si>
    <t>rcons_nondurable</t>
  </si>
  <si>
    <t>rcons_cal</t>
  </si>
  <si>
    <t>rcons</t>
  </si>
  <si>
    <t>ncons_durable</t>
  </si>
  <si>
    <t>ncons_services</t>
  </si>
  <si>
    <t>ncons_nondurable</t>
  </si>
  <si>
    <t>ncons</t>
  </si>
  <si>
    <t>pgdp</t>
  </si>
  <si>
    <t>rgdp</t>
  </si>
  <si>
    <t>ngdp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</si>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</sst>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0C5D-57C4-7441-9442-893332B21649}">
  <dimension ref="A1:T143"/>
  <sheetViews>
    <sheetView tabSelected="1" workbookViewId="0">
      <selection activeCell="A143" sqref="A143"/>
    </sheetView>
  </sheetViews>
  <sheetFormatPr baseColWidth="10" defaultRowHeight="16" x14ac:dyDescent="0.2"/>
  <sheetData>
    <row r="1" spans="1:20" x14ac:dyDescent="0.2">
      <c r="A1" t="s">
        <v>161</v>
      </c>
      <c r="B1" s="4" t="s">
        <v>160</v>
      </c>
      <c r="C1" s="4" t="s">
        <v>159</v>
      </c>
      <c r="D1" t="s">
        <v>158</v>
      </c>
      <c r="E1" t="s">
        <v>157</v>
      </c>
      <c r="F1" t="s">
        <v>156</v>
      </c>
      <c r="G1" t="s">
        <v>155</v>
      </c>
      <c r="H1" t="s">
        <v>154</v>
      </c>
      <c r="I1" t="s">
        <v>153</v>
      </c>
      <c r="J1" t="s">
        <v>152</v>
      </c>
      <c r="K1" t="s">
        <v>151</v>
      </c>
      <c r="L1" t="s">
        <v>150</v>
      </c>
      <c r="M1" t="s">
        <v>149</v>
      </c>
      <c r="N1" t="s">
        <v>148</v>
      </c>
      <c r="O1" t="s">
        <v>147</v>
      </c>
      <c r="P1" t="s">
        <v>146</v>
      </c>
      <c r="Q1" t="s">
        <v>145</v>
      </c>
      <c r="R1" s="1" t="s">
        <v>144</v>
      </c>
      <c r="S1" t="s">
        <v>143</v>
      </c>
      <c r="T1" t="s">
        <v>142</v>
      </c>
    </row>
    <row r="2" spans="1:20" x14ac:dyDescent="0.2">
      <c r="A2" t="s">
        <v>141</v>
      </c>
      <c r="B2" s="3">
        <v>5747.2370000000001</v>
      </c>
      <c r="C2" s="3">
        <v>9938.7669999999998</v>
      </c>
      <c r="D2" s="3">
        <v>57.826000000000001</v>
      </c>
      <c r="E2" s="3">
        <v>3653.692</v>
      </c>
      <c r="F2" s="3">
        <v>951.33799999999997</v>
      </c>
      <c r="G2" s="3">
        <v>2210.4690000000001</v>
      </c>
      <c r="H2" s="3">
        <v>491.88499999999999</v>
      </c>
      <c r="I2" s="3">
        <v>6304.1570000000002</v>
      </c>
      <c r="J2" s="3">
        <f>E2/D2*100</f>
        <v>6318.4242382319371</v>
      </c>
      <c r="K2" s="3">
        <f>F2/D2*100</f>
        <v>1645.1734513886486</v>
      </c>
      <c r="L2" s="3">
        <f>G2/D2*100</f>
        <v>3822.6213122124996</v>
      </c>
      <c r="M2" s="3">
        <f>H2/D2*100</f>
        <v>850.62947463078888</v>
      </c>
      <c r="N2">
        <v>248374</v>
      </c>
      <c r="O2" s="3">
        <v>57.404000000000003</v>
      </c>
      <c r="P2" s="2">
        <v>80.406999999999996</v>
      </c>
      <c r="Q2">
        <v>345.39999999999992</v>
      </c>
      <c r="R2" s="1">
        <v>-0.98040957677267182</v>
      </c>
      <c r="S2" s="1">
        <v>164.12</v>
      </c>
      <c r="T2" s="1">
        <v>117774.33333333333</v>
      </c>
    </row>
    <row r="3" spans="1:20" x14ac:dyDescent="0.2">
      <c r="A3" t="s">
        <v>140</v>
      </c>
      <c r="B3" s="3">
        <v>5872.701</v>
      </c>
      <c r="C3" s="3">
        <v>10047.386</v>
      </c>
      <c r="D3" s="3">
        <v>58.45</v>
      </c>
      <c r="E3" s="3">
        <v>3737.9479999999999</v>
      </c>
      <c r="F3" s="3">
        <v>974.173</v>
      </c>
      <c r="G3" s="3">
        <v>2248.3820000000001</v>
      </c>
      <c r="H3" s="3">
        <v>515.39400000000001</v>
      </c>
      <c r="I3" s="3">
        <v>6357.2129999999997</v>
      </c>
      <c r="J3" s="3">
        <f>E3/D3*100</f>
        <v>6395.1206159110343</v>
      </c>
      <c r="K3" s="3">
        <f>F3/D3*100</f>
        <v>1666.6775021385799</v>
      </c>
      <c r="L3" s="3">
        <f>G3/D3*100</f>
        <v>3846.6757912745934</v>
      </c>
      <c r="M3" s="3">
        <f>H3/D3*100</f>
        <v>881.76903336184773</v>
      </c>
      <c r="N3">
        <v>248936</v>
      </c>
      <c r="O3" s="3">
        <v>57.936</v>
      </c>
      <c r="P3" s="2">
        <v>80.656999999999996</v>
      </c>
      <c r="Q3">
        <v>336.29333333333335</v>
      </c>
      <c r="R3" s="1">
        <v>0.93966222850094439</v>
      </c>
      <c r="S3" s="1">
        <v>165.05</v>
      </c>
      <c r="T3" s="1">
        <v>119114.33333333333</v>
      </c>
    </row>
    <row r="4" spans="1:20" x14ac:dyDescent="0.2">
      <c r="A4" t="s">
        <v>139</v>
      </c>
      <c r="B4" s="3">
        <v>5960.0280000000002</v>
      </c>
      <c r="C4" s="3">
        <v>10083.855</v>
      </c>
      <c r="D4" s="3">
        <v>59.104999999999997</v>
      </c>
      <c r="E4" s="3">
        <v>3783.4209999999998</v>
      </c>
      <c r="F4" s="3">
        <v>980.85299999999995</v>
      </c>
      <c r="G4" s="3">
        <v>2304.16</v>
      </c>
      <c r="H4" s="3">
        <v>498.40699999999998</v>
      </c>
      <c r="I4" s="3">
        <v>6376.5789999999997</v>
      </c>
      <c r="J4" s="3">
        <f>E4/D4*100</f>
        <v>6401.1860248709927</v>
      </c>
      <c r="K4" s="3">
        <f>F4/D4*100</f>
        <v>1659.5093477709163</v>
      </c>
      <c r="L4" s="3">
        <f>G4/D4*100</f>
        <v>3898.4180695372643</v>
      </c>
      <c r="M4" s="3">
        <f>H4/D4*100</f>
        <v>843.25691565857369</v>
      </c>
      <c r="N4">
        <v>249711</v>
      </c>
      <c r="O4" s="3">
        <v>58.338000000000001</v>
      </c>
      <c r="P4" s="2">
        <v>80.31</v>
      </c>
      <c r="Q4">
        <v>349.60666666666674</v>
      </c>
      <c r="R4" s="1">
        <v>0.44057559153928127</v>
      </c>
      <c r="S4" s="1">
        <v>165.74</v>
      </c>
      <c r="T4" s="1">
        <v>118995.33333333333</v>
      </c>
    </row>
    <row r="5" spans="1:20" x14ac:dyDescent="0.2">
      <c r="A5" t="s">
        <v>138</v>
      </c>
      <c r="B5" s="3">
        <v>6015.116</v>
      </c>
      <c r="C5" s="3">
        <v>10090.569</v>
      </c>
      <c r="D5" s="3">
        <v>59.610999999999997</v>
      </c>
      <c r="E5" s="3">
        <v>3846.7</v>
      </c>
      <c r="F5" s="3">
        <v>1003.106</v>
      </c>
      <c r="G5" s="3">
        <v>2350.0239999999999</v>
      </c>
      <c r="H5" s="3">
        <v>493.57</v>
      </c>
      <c r="I5" s="3">
        <v>6401.8410000000003</v>
      </c>
      <c r="J5" s="3">
        <f>E5/D5*100</f>
        <v>6453.0036402677351</v>
      </c>
      <c r="K5" s="3">
        <f>F5/D5*100</f>
        <v>1682.7531831373406</v>
      </c>
      <c r="L5" s="3">
        <f>G5/D5*100</f>
        <v>3942.2656892184327</v>
      </c>
      <c r="M5" s="3">
        <f>H5/D5*100</f>
        <v>827.98476791196265</v>
      </c>
      <c r="N5">
        <v>250595</v>
      </c>
      <c r="O5" s="3">
        <v>58.530999999999999</v>
      </c>
      <c r="P5" s="2">
        <v>79.893000000000001</v>
      </c>
      <c r="Q5">
        <v>335.3966666666667</v>
      </c>
      <c r="R5" s="1">
        <v>0.38128541513527292</v>
      </c>
      <c r="S5" s="1">
        <v>166.76</v>
      </c>
      <c r="T5" s="1">
        <v>118712</v>
      </c>
    </row>
    <row r="6" spans="1:20" x14ac:dyDescent="0.2">
      <c r="A6" t="s">
        <v>137</v>
      </c>
      <c r="B6" s="3">
        <v>6004.7330000000002</v>
      </c>
      <c r="C6" s="3">
        <v>9998.7039999999997</v>
      </c>
      <c r="D6" s="3">
        <v>60.055</v>
      </c>
      <c r="E6" s="3">
        <v>3867.9090000000001</v>
      </c>
      <c r="F6" s="3">
        <v>1018.756</v>
      </c>
      <c r="G6" s="3">
        <v>2368.2069999999999</v>
      </c>
      <c r="H6" s="3">
        <v>480.947</v>
      </c>
      <c r="I6" s="3">
        <v>6353.1390000000001</v>
      </c>
      <c r="J6" s="3">
        <f>E6/D6*100</f>
        <v>6440.6111064857214</v>
      </c>
      <c r="K6" s="3">
        <f>F6/D6*100</f>
        <v>1696.3716593122972</v>
      </c>
      <c r="L6" s="3">
        <f>G6/D6*100</f>
        <v>3943.3968861876615</v>
      </c>
      <c r="M6" s="3">
        <f>H6/D6*100</f>
        <v>800.84422612605101</v>
      </c>
      <c r="N6">
        <v>251482</v>
      </c>
      <c r="O6" s="3">
        <v>57.921999999999997</v>
      </c>
      <c r="P6" s="2">
        <v>79.552999999999997</v>
      </c>
      <c r="Q6">
        <v>317.05333333333334</v>
      </c>
      <c r="R6" s="1">
        <v>-0.4049483525965325</v>
      </c>
      <c r="S6" s="1">
        <v>166.1</v>
      </c>
      <c r="T6" s="1">
        <v>118361</v>
      </c>
    </row>
    <row r="7" spans="1:20" x14ac:dyDescent="0.2">
      <c r="A7" t="s">
        <v>136</v>
      </c>
      <c r="B7" s="3">
        <v>6035.1779999999999</v>
      </c>
      <c r="C7" s="3">
        <v>9951.9159999999993</v>
      </c>
      <c r="D7" s="3">
        <v>60.643000000000001</v>
      </c>
      <c r="E7" s="3">
        <v>3873.5619999999999</v>
      </c>
      <c r="F7" s="3">
        <v>1014.15</v>
      </c>
      <c r="G7" s="3">
        <v>2387.721</v>
      </c>
      <c r="H7" s="3">
        <v>471.69099999999997</v>
      </c>
      <c r="I7" s="3">
        <v>6329.2489999999998</v>
      </c>
      <c r="J7" s="3">
        <f>E7/D7*100</f>
        <v>6387.4841284237255</v>
      </c>
      <c r="K7" s="3">
        <f>F7/D7*100</f>
        <v>1672.3282159523769</v>
      </c>
      <c r="L7" s="3">
        <f>G7/D7*100</f>
        <v>3937.3398413666869</v>
      </c>
      <c r="M7" s="3">
        <f>H7/D7*100</f>
        <v>777.81607110466166</v>
      </c>
      <c r="N7">
        <v>252258</v>
      </c>
      <c r="O7" s="3">
        <v>58.100999999999999</v>
      </c>
      <c r="P7" s="2">
        <v>78.775999999999996</v>
      </c>
      <c r="Q7">
        <v>353.34333333333331</v>
      </c>
      <c r="R7" s="1">
        <v>1.8276446747458643</v>
      </c>
      <c r="S7" s="1">
        <v>167.49</v>
      </c>
      <c r="T7" s="1">
        <v>117782.33333333333</v>
      </c>
    </row>
    <row r="8" spans="1:20" x14ac:dyDescent="0.2">
      <c r="A8" t="s">
        <v>135</v>
      </c>
      <c r="B8" s="3">
        <v>6126.8620000000001</v>
      </c>
      <c r="C8" s="3">
        <v>10029.51</v>
      </c>
      <c r="D8" s="3">
        <v>61.088000000000001</v>
      </c>
      <c r="E8" s="3">
        <v>3926.9319999999998</v>
      </c>
      <c r="F8" s="3">
        <v>1021.765</v>
      </c>
      <c r="G8" s="3">
        <v>2429.9180000000001</v>
      </c>
      <c r="H8" s="3">
        <v>475.24799999999999</v>
      </c>
      <c r="I8" s="3">
        <v>6381.7030000000004</v>
      </c>
      <c r="J8" s="3">
        <f>E8/D8*100</f>
        <v>6428.3198009429016</v>
      </c>
      <c r="K8" s="3">
        <f>F8/D8*100</f>
        <v>1672.611642221058</v>
      </c>
      <c r="L8" s="3">
        <f>G8/D8*100</f>
        <v>3977.7337611314829</v>
      </c>
      <c r="M8" s="3">
        <f>H8/D8*100</f>
        <v>777.97276060764796</v>
      </c>
      <c r="N8">
        <v>253063</v>
      </c>
      <c r="O8" s="3">
        <v>59.046999999999997</v>
      </c>
      <c r="P8" s="2">
        <v>78.281999999999996</v>
      </c>
      <c r="Q8">
        <v>378.65333333333336</v>
      </c>
      <c r="R8" s="1">
        <v>2.4216654265532918</v>
      </c>
      <c r="S8" s="1">
        <v>168.6</v>
      </c>
      <c r="T8" s="1">
        <v>117729.33333333333</v>
      </c>
    </row>
    <row r="9" spans="1:20" x14ac:dyDescent="0.2">
      <c r="A9" t="s">
        <v>134</v>
      </c>
      <c r="B9" s="3">
        <v>6205.9369999999999</v>
      </c>
      <c r="C9" s="3">
        <v>10080.195</v>
      </c>
      <c r="D9" s="3">
        <v>61.566000000000003</v>
      </c>
      <c r="E9" s="3">
        <v>3973.2689999999998</v>
      </c>
      <c r="F9" s="3">
        <v>1024.3920000000001</v>
      </c>
      <c r="G9" s="3">
        <v>2464.5410000000002</v>
      </c>
      <c r="H9" s="3">
        <v>484.33600000000001</v>
      </c>
      <c r="I9" s="3">
        <v>6413.5209999999997</v>
      </c>
      <c r="J9" s="3">
        <f>E9/D9*100</f>
        <v>6453.6741058376365</v>
      </c>
      <c r="K9" s="3">
        <f>F9/D9*100</f>
        <v>1663.892408147354</v>
      </c>
      <c r="L9" s="3">
        <f>G9/D9*100</f>
        <v>4003.0877432349021</v>
      </c>
      <c r="M9" s="3">
        <f>H9/D9*100</f>
        <v>786.69395445538123</v>
      </c>
      <c r="N9">
        <v>253965</v>
      </c>
      <c r="O9" s="3">
        <v>59.552999999999997</v>
      </c>
      <c r="P9" s="2">
        <v>78.19</v>
      </c>
      <c r="Q9">
        <v>385.60999999999996</v>
      </c>
      <c r="R9" s="1">
        <v>-0.73865457019128478</v>
      </c>
      <c r="S9" s="1">
        <v>168.93</v>
      </c>
      <c r="T9" s="1">
        <v>117660</v>
      </c>
    </row>
    <row r="10" spans="1:20" x14ac:dyDescent="0.2">
      <c r="A10" t="s">
        <v>133</v>
      </c>
      <c r="B10" s="3">
        <v>6264.54</v>
      </c>
      <c r="C10" s="3">
        <v>10115.329</v>
      </c>
      <c r="D10" s="3">
        <v>61.930999999999997</v>
      </c>
      <c r="E10" s="3">
        <v>4000.0320000000002</v>
      </c>
      <c r="F10" s="3">
        <v>1020.699</v>
      </c>
      <c r="G10" s="3">
        <v>2501.877</v>
      </c>
      <c r="H10" s="3">
        <v>477.45600000000002</v>
      </c>
      <c r="I10" s="3">
        <v>6410.3119999999999</v>
      </c>
      <c r="J10" s="3">
        <f>E10/D10*100</f>
        <v>6458.8525940159216</v>
      </c>
      <c r="K10" s="3">
        <f>F10/D10*100</f>
        <v>1648.1229109815765</v>
      </c>
      <c r="L10" s="3">
        <f>G10/D10*100</f>
        <v>4039.7813695887357</v>
      </c>
      <c r="M10" s="3">
        <f>H10/D10*100</f>
        <v>770.94831344560885</v>
      </c>
      <c r="N10">
        <v>254835</v>
      </c>
      <c r="O10" s="3">
        <v>59.835999999999999</v>
      </c>
      <c r="P10" s="2">
        <v>78.055000000000007</v>
      </c>
      <c r="Q10">
        <v>387.1033333333333</v>
      </c>
      <c r="R10" s="1">
        <v>-0.7831678904367616</v>
      </c>
      <c r="S10" s="1">
        <v>171.28</v>
      </c>
      <c r="T10" s="1">
        <v>117678.66666666667</v>
      </c>
    </row>
    <row r="11" spans="1:20" x14ac:dyDescent="0.2">
      <c r="A11" t="s">
        <v>132</v>
      </c>
      <c r="B11" s="3">
        <v>6363.1019999999999</v>
      </c>
      <c r="C11" s="3">
        <v>10236.434999999999</v>
      </c>
      <c r="D11" s="3">
        <v>62.161000000000001</v>
      </c>
      <c r="E11" s="3">
        <v>4100.4009999999998</v>
      </c>
      <c r="F11" s="3">
        <v>1037.6679999999999</v>
      </c>
      <c r="G11" s="3">
        <v>2566.5520000000001</v>
      </c>
      <c r="H11" s="3">
        <v>496.18</v>
      </c>
      <c r="I11" s="3">
        <v>6530.335</v>
      </c>
      <c r="J11" s="3">
        <f>E11/D11*100</f>
        <v>6596.4205852544201</v>
      </c>
      <c r="K11" s="3">
        <f>F11/D11*100</f>
        <v>1669.3232090860829</v>
      </c>
      <c r="L11" s="3">
        <f>G11/D11*100</f>
        <v>4128.8782355496205</v>
      </c>
      <c r="M11" s="3">
        <f>H11/D11*100</f>
        <v>798.21753189298749</v>
      </c>
      <c r="N11">
        <v>255585</v>
      </c>
      <c r="O11" s="3">
        <v>61.018000000000001</v>
      </c>
      <c r="P11" s="2">
        <v>77.596000000000004</v>
      </c>
      <c r="Q11">
        <v>412</v>
      </c>
      <c r="R11" s="1">
        <v>10.380930272213899</v>
      </c>
      <c r="S11" s="1">
        <v>172.61</v>
      </c>
      <c r="T11" s="1">
        <v>117958.33333333333</v>
      </c>
    </row>
    <row r="12" spans="1:20" x14ac:dyDescent="0.2">
      <c r="A12" t="s">
        <v>131</v>
      </c>
      <c r="B12" s="3">
        <v>6470.7629999999999</v>
      </c>
      <c r="C12" s="3">
        <v>10347.429</v>
      </c>
      <c r="D12" s="3">
        <v>62.534999999999997</v>
      </c>
      <c r="E12" s="3">
        <v>4155.66</v>
      </c>
      <c r="F12" s="3">
        <v>1047.2180000000001</v>
      </c>
      <c r="G12" s="3">
        <v>2607.453</v>
      </c>
      <c r="H12" s="3">
        <v>500.98899999999998</v>
      </c>
      <c r="I12" s="3">
        <v>6574.665</v>
      </c>
      <c r="J12" s="3">
        <f>E12/D12*100</f>
        <v>6645.3346126169354</v>
      </c>
      <c r="K12" s="3">
        <f>F12/D12*100</f>
        <v>1674.6110178300153</v>
      </c>
      <c r="L12" s="3">
        <f>G12/D12*100</f>
        <v>4169.589829695371</v>
      </c>
      <c r="M12" s="3">
        <f>H12/D12*100</f>
        <v>801.13376509154875</v>
      </c>
      <c r="N12">
        <v>256439</v>
      </c>
      <c r="O12" s="3">
        <v>61.527000000000001</v>
      </c>
      <c r="P12" s="2">
        <v>77.912000000000006</v>
      </c>
      <c r="Q12">
        <v>410.16333333333336</v>
      </c>
      <c r="R12" s="1">
        <v>-1.6462845234066694</v>
      </c>
      <c r="S12" s="1">
        <v>172.56</v>
      </c>
      <c r="T12" s="1">
        <v>118406.66666666667</v>
      </c>
    </row>
    <row r="13" spans="1:20" x14ac:dyDescent="0.2">
      <c r="A13" t="s">
        <v>130</v>
      </c>
      <c r="B13" s="3">
        <v>6566.6409999999996</v>
      </c>
      <c r="C13" s="3">
        <v>10449.673000000001</v>
      </c>
      <c r="D13" s="3">
        <v>62.841000000000001</v>
      </c>
      <c r="E13" s="3">
        <v>4226.9709999999995</v>
      </c>
      <c r="F13" s="3">
        <v>1061.049</v>
      </c>
      <c r="G13" s="3">
        <v>2653.8290000000002</v>
      </c>
      <c r="H13" s="3">
        <v>512.09199999999998</v>
      </c>
      <c r="I13" s="3">
        <v>6645.14</v>
      </c>
      <c r="J13" s="3">
        <f>E13/D13*100</f>
        <v>6726.4540666125613</v>
      </c>
      <c r="K13" s="3">
        <f>F13/D13*100</f>
        <v>1688.4661288012601</v>
      </c>
      <c r="L13" s="3">
        <f>G13/D13*100</f>
        <v>4223.0852468929515</v>
      </c>
      <c r="M13" s="3">
        <f>H13/D13*100</f>
        <v>814.90109960057919</v>
      </c>
      <c r="N13">
        <v>257386</v>
      </c>
      <c r="O13" s="3">
        <v>62.088000000000001</v>
      </c>
      <c r="P13" s="2">
        <v>78.031000000000006</v>
      </c>
      <c r="Q13">
        <v>417.15333333333336</v>
      </c>
      <c r="R13" s="1">
        <v>0.45393560540032224</v>
      </c>
      <c r="S13" s="1">
        <v>174.54</v>
      </c>
      <c r="T13" s="1">
        <v>118753</v>
      </c>
    </row>
    <row r="14" spans="1:20" x14ac:dyDescent="0.2">
      <c r="A14" t="s">
        <v>129</v>
      </c>
      <c r="B14" s="3">
        <v>6680.8029999999999</v>
      </c>
      <c r="C14" s="3">
        <v>10558.647999999999</v>
      </c>
      <c r="D14" s="3">
        <v>63.273000000000003</v>
      </c>
      <c r="E14" s="3">
        <v>4307.2049999999999</v>
      </c>
      <c r="F14" s="3">
        <v>1074.81</v>
      </c>
      <c r="G14" s="3">
        <v>2709.3310000000001</v>
      </c>
      <c r="H14" s="3">
        <v>523.06399999999996</v>
      </c>
      <c r="I14" s="3">
        <v>6724.3419999999996</v>
      </c>
      <c r="J14" s="3">
        <f>E14/D14*100</f>
        <v>6807.3348821772315</v>
      </c>
      <c r="K14" s="3">
        <f>F14/D14*100</f>
        <v>1698.6866435920533</v>
      </c>
      <c r="L14" s="3">
        <f>G14/D14*100</f>
        <v>4281.9701926572161</v>
      </c>
      <c r="M14" s="3">
        <f>H14/D14*100</f>
        <v>826.67804592796278</v>
      </c>
      <c r="N14">
        <v>258277</v>
      </c>
      <c r="O14" s="3">
        <v>62.447000000000003</v>
      </c>
      <c r="P14" s="2">
        <v>78.546000000000006</v>
      </c>
      <c r="Q14">
        <v>423.66</v>
      </c>
      <c r="R14" s="1">
        <v>-0.63544418305477834</v>
      </c>
      <c r="S14" s="1">
        <v>175.42</v>
      </c>
      <c r="T14" s="1">
        <v>118833.66666666667</v>
      </c>
    </row>
    <row r="15" spans="1:20" x14ac:dyDescent="0.2">
      <c r="A15" t="s">
        <v>128</v>
      </c>
      <c r="B15" s="3">
        <v>6729.4589999999998</v>
      </c>
      <c r="C15" s="3">
        <v>10576.275</v>
      </c>
      <c r="D15" s="3">
        <v>63.628</v>
      </c>
      <c r="E15" s="3">
        <v>4349.5150000000003</v>
      </c>
      <c r="F15" s="3">
        <v>1079.1289999999999</v>
      </c>
      <c r="G15" s="3">
        <v>2742.5340000000001</v>
      </c>
      <c r="H15" s="3">
        <v>527.85199999999998</v>
      </c>
      <c r="I15" s="3">
        <v>6750.1229999999996</v>
      </c>
      <c r="J15" s="3">
        <f>E15/D15*100</f>
        <v>6835.8505689319172</v>
      </c>
      <c r="K15" s="3">
        <f>F15/D15*100</f>
        <v>1695.9970453259568</v>
      </c>
      <c r="L15" s="3">
        <f>G15/D15*100</f>
        <v>4310.262777393601</v>
      </c>
      <c r="M15" s="3">
        <f>H15/D15*100</f>
        <v>829.59074621235925</v>
      </c>
      <c r="N15">
        <v>259039</v>
      </c>
      <c r="O15" s="3">
        <v>61.915999999999997</v>
      </c>
      <c r="P15" s="2">
        <v>79.230999999999995</v>
      </c>
      <c r="Q15">
        <v>442.3633333333334</v>
      </c>
      <c r="R15" s="1">
        <v>-6.8690171873160661</v>
      </c>
      <c r="S15" s="1">
        <v>175.49</v>
      </c>
      <c r="T15" s="1">
        <v>119297.33333333333</v>
      </c>
    </row>
    <row r="16" spans="1:20" x14ac:dyDescent="0.2">
      <c r="A16" t="s">
        <v>127</v>
      </c>
      <c r="B16" s="3">
        <v>6808.9390000000003</v>
      </c>
      <c r="C16" s="3">
        <v>10637.847</v>
      </c>
      <c r="D16" s="3">
        <v>64.007000000000005</v>
      </c>
      <c r="E16" s="3">
        <v>4418.5810000000001</v>
      </c>
      <c r="F16" s="3">
        <v>1086.326</v>
      </c>
      <c r="G16" s="3">
        <v>2784.4119999999998</v>
      </c>
      <c r="H16" s="3">
        <v>547.84199999999998</v>
      </c>
      <c r="I16" s="3">
        <v>6811.5219999999999</v>
      </c>
      <c r="J16" s="3">
        <f>E16/D16*100</f>
        <v>6903.2777664942896</v>
      </c>
      <c r="K16" s="3">
        <f>F16/D16*100</f>
        <v>1697.1987438873871</v>
      </c>
      <c r="L16" s="3">
        <f>G16/D16*100</f>
        <v>4350.1679503804262</v>
      </c>
      <c r="M16" s="3">
        <f>H16/D16*100</f>
        <v>855.90950989735484</v>
      </c>
      <c r="N16">
        <v>259826</v>
      </c>
      <c r="O16" s="3">
        <v>61.551000000000002</v>
      </c>
      <c r="P16" s="2">
        <v>80.135000000000005</v>
      </c>
      <c r="Q16">
        <v>445.46333333333331</v>
      </c>
      <c r="R16" s="1">
        <v>-1.9560993837816589</v>
      </c>
      <c r="S16" s="1">
        <v>177.17</v>
      </c>
      <c r="T16" s="1">
        <v>119959.66666666667</v>
      </c>
    </row>
    <row r="17" spans="1:20" x14ac:dyDescent="0.2">
      <c r="A17" t="s">
        <v>126</v>
      </c>
      <c r="B17" s="3">
        <v>6882.098</v>
      </c>
      <c r="C17" s="3">
        <v>10688.606</v>
      </c>
      <c r="D17" s="3">
        <v>64.387</v>
      </c>
      <c r="E17" s="3">
        <v>4487.1890000000003</v>
      </c>
      <c r="F17" s="3">
        <v>1092.528</v>
      </c>
      <c r="G17" s="3">
        <v>2838.0230000000001</v>
      </c>
      <c r="H17" s="3">
        <v>556.63800000000003</v>
      </c>
      <c r="I17" s="3">
        <v>6887.3289999999997</v>
      </c>
      <c r="J17" s="3">
        <f>E17/D17*100</f>
        <v>6969.0915868110023</v>
      </c>
      <c r="K17" s="3">
        <f>F17/D17*100</f>
        <v>1696.8145743706027</v>
      </c>
      <c r="L17" s="3">
        <f>G17/D17*100</f>
        <v>4407.7577771910483</v>
      </c>
      <c r="M17" s="3">
        <f>H17/D17*100</f>
        <v>864.51923524935171</v>
      </c>
      <c r="N17">
        <v>260714</v>
      </c>
      <c r="O17" s="3">
        <v>61.831000000000003</v>
      </c>
      <c r="P17" s="2">
        <v>80.602000000000004</v>
      </c>
      <c r="Q17">
        <v>453.55333333333334</v>
      </c>
      <c r="R17" s="1">
        <v>-3.6889280915098714</v>
      </c>
      <c r="S17" s="1">
        <v>178.61</v>
      </c>
      <c r="T17" s="1">
        <v>120625.66666666667</v>
      </c>
    </row>
    <row r="18" spans="1:20" x14ac:dyDescent="0.2">
      <c r="A18" t="s">
        <v>125</v>
      </c>
      <c r="B18" s="3">
        <v>7013.7380000000003</v>
      </c>
      <c r="C18" s="3">
        <v>10833.986999999999</v>
      </c>
      <c r="D18" s="3">
        <v>64.738</v>
      </c>
      <c r="E18" s="3">
        <v>4552.6509999999998</v>
      </c>
      <c r="F18" s="3">
        <v>1105.2750000000001</v>
      </c>
      <c r="G18" s="3">
        <v>2873.5790000000002</v>
      </c>
      <c r="H18" s="3">
        <v>573.79600000000005</v>
      </c>
      <c r="I18" s="3">
        <v>6947.7879999999996</v>
      </c>
      <c r="J18" s="3">
        <f>E18/D18*100</f>
        <v>7032.4245420000625</v>
      </c>
      <c r="K18" s="3">
        <f>F18/D18*100</f>
        <v>1707.3048286941212</v>
      </c>
      <c r="L18" s="3">
        <f>G18/D18*100</f>
        <v>4438.7824770613861</v>
      </c>
      <c r="M18" s="3">
        <f>H18/D18*100</f>
        <v>886.33569155673649</v>
      </c>
      <c r="N18">
        <v>261547</v>
      </c>
      <c r="O18" s="3">
        <v>62.067999999999998</v>
      </c>
      <c r="P18" s="2">
        <v>81.375</v>
      </c>
      <c r="Q18">
        <v>464.24666666666667</v>
      </c>
      <c r="R18" s="1">
        <v>3.4904086989048362</v>
      </c>
      <c r="S18" s="1">
        <v>180.07</v>
      </c>
      <c r="T18" s="1">
        <v>121152</v>
      </c>
    </row>
    <row r="19" spans="1:20" x14ac:dyDescent="0.2">
      <c r="A19" t="s">
        <v>124</v>
      </c>
      <c r="B19" s="3">
        <v>7115.652</v>
      </c>
      <c r="C19" s="3">
        <v>10939.116</v>
      </c>
      <c r="D19" s="3">
        <v>65.048000000000002</v>
      </c>
      <c r="E19" s="3">
        <v>4621.223</v>
      </c>
      <c r="F19" s="3">
        <v>1116.845</v>
      </c>
      <c r="G19" s="3">
        <v>2915.5540000000001</v>
      </c>
      <c r="H19" s="3">
        <v>588.82399999999996</v>
      </c>
      <c r="I19" s="3">
        <v>7027.2550000000001</v>
      </c>
      <c r="J19" s="3">
        <f>E19/D19*100</f>
        <v>7104.3275734841955</v>
      </c>
      <c r="K19" s="3">
        <f>F19/D19*100</f>
        <v>1716.955171565613</v>
      </c>
      <c r="L19" s="3">
        <f>G19/D19*100</f>
        <v>4482.1577911695977</v>
      </c>
      <c r="M19" s="3">
        <f>H19/D19*100</f>
        <v>905.21461074898525</v>
      </c>
      <c r="N19">
        <v>262250</v>
      </c>
      <c r="O19" s="3">
        <v>62.24</v>
      </c>
      <c r="P19" s="2">
        <v>81.885999999999996</v>
      </c>
      <c r="Q19">
        <v>469.46</v>
      </c>
      <c r="R19" s="1">
        <v>-3.4577681300226031</v>
      </c>
      <c r="S19" s="1">
        <v>181.19</v>
      </c>
      <c r="T19" s="1">
        <v>121994</v>
      </c>
    </row>
    <row r="20" spans="1:20" x14ac:dyDescent="0.2">
      <c r="A20" t="s">
        <v>123</v>
      </c>
      <c r="B20" s="3">
        <v>7246.9309999999996</v>
      </c>
      <c r="C20" s="3">
        <v>11087.361000000001</v>
      </c>
      <c r="D20" s="3">
        <v>65.361999999999995</v>
      </c>
      <c r="E20" s="3">
        <v>4683.1629999999996</v>
      </c>
      <c r="F20" s="3">
        <v>1128.0940000000001</v>
      </c>
      <c r="G20" s="3">
        <v>2956.348</v>
      </c>
      <c r="H20" s="3">
        <v>598.721</v>
      </c>
      <c r="I20" s="3">
        <v>7081.9309999999996</v>
      </c>
      <c r="J20" s="3">
        <f>E20/D20*100</f>
        <v>7164.9628224350536</v>
      </c>
      <c r="K20" s="3">
        <f>F20/D20*100</f>
        <v>1725.9171995960958</v>
      </c>
      <c r="L20" s="3">
        <f>G20/D20*100</f>
        <v>4523.0378507389614</v>
      </c>
      <c r="M20" s="3">
        <f>H20/D20*100</f>
        <v>916.00777209999706</v>
      </c>
      <c r="N20">
        <v>263020</v>
      </c>
      <c r="O20" s="3">
        <v>62.298999999999999</v>
      </c>
      <c r="P20" s="2">
        <v>83.210999999999999</v>
      </c>
      <c r="Q20">
        <v>450.98666666666668</v>
      </c>
      <c r="R20" s="1">
        <v>-0.60868128948685873</v>
      </c>
      <c r="S20" s="1">
        <v>182.26</v>
      </c>
      <c r="T20" s="1">
        <v>122596</v>
      </c>
    </row>
    <row r="21" spans="1:20" x14ac:dyDescent="0.2">
      <c r="A21" t="s">
        <v>122</v>
      </c>
      <c r="B21" s="3">
        <v>7331.0749999999998</v>
      </c>
      <c r="C21" s="3">
        <v>11152.175999999999</v>
      </c>
      <c r="D21" s="3">
        <v>65.736999999999995</v>
      </c>
      <c r="E21" s="3">
        <v>4752.7610000000004</v>
      </c>
      <c r="F21" s="3">
        <v>1149.5809999999999</v>
      </c>
      <c r="G21" s="3">
        <v>2993.87</v>
      </c>
      <c r="H21" s="3">
        <v>609.30999999999995</v>
      </c>
      <c r="I21" s="3">
        <v>7135.93</v>
      </c>
      <c r="J21" s="3">
        <f>E21/D21*100</f>
        <v>7229.9633387589947</v>
      </c>
      <c r="K21" s="3">
        <f>F21/D21*100</f>
        <v>1748.7579293244291</v>
      </c>
      <c r="L21" s="3">
        <f>G21/D21*100</f>
        <v>4554.3149215814537</v>
      </c>
      <c r="M21" s="3">
        <f>H21/D21*100</f>
        <v>926.89048785311149</v>
      </c>
      <c r="N21">
        <v>263870</v>
      </c>
      <c r="O21" s="3">
        <v>61.947000000000003</v>
      </c>
      <c r="P21" s="2">
        <v>84.19</v>
      </c>
      <c r="Q21">
        <v>460.86666666666662</v>
      </c>
      <c r="R21" s="1">
        <v>-0.79395150913344936</v>
      </c>
      <c r="S21" s="1">
        <v>183.02</v>
      </c>
      <c r="T21" s="1">
        <v>123245</v>
      </c>
    </row>
    <row r="22" spans="1:20" x14ac:dyDescent="0.2">
      <c r="A22" t="s">
        <v>121</v>
      </c>
      <c r="B22" s="3">
        <v>7455.2879999999996</v>
      </c>
      <c r="C22" s="3">
        <v>11279.932000000001</v>
      </c>
      <c r="D22" s="3">
        <v>66.093000000000004</v>
      </c>
      <c r="E22" s="3">
        <v>4826.7129999999997</v>
      </c>
      <c r="F22" s="3">
        <v>1163.01</v>
      </c>
      <c r="G22" s="3">
        <v>3031.873</v>
      </c>
      <c r="H22" s="3">
        <v>631.83000000000004</v>
      </c>
      <c r="I22" s="3">
        <v>7213.0789999999997</v>
      </c>
      <c r="J22" s="3">
        <f>E22/D22*100</f>
        <v>7302.9110495816494</v>
      </c>
      <c r="K22" s="3">
        <f>F22/D22*100</f>
        <v>1759.656847169897</v>
      </c>
      <c r="L22" s="3">
        <f>G22/D22*100</f>
        <v>4587.2830708244446</v>
      </c>
      <c r="M22" s="3">
        <f>H22/D22*100</f>
        <v>955.97113158730872</v>
      </c>
      <c r="N22">
        <v>264678</v>
      </c>
      <c r="O22" s="3">
        <v>62.600999999999999</v>
      </c>
      <c r="P22" s="2">
        <v>84.539000000000001</v>
      </c>
      <c r="Q22">
        <v>460.00333333333333</v>
      </c>
      <c r="R22" s="1">
        <v>3.1868484696517392</v>
      </c>
      <c r="S22" s="1">
        <v>182.86</v>
      </c>
      <c r="T22" s="1">
        <v>124449.66666666667</v>
      </c>
    </row>
    <row r="23" spans="1:20" x14ac:dyDescent="0.2">
      <c r="A23" t="s">
        <v>120</v>
      </c>
      <c r="B23" s="3">
        <v>7522.2889999999998</v>
      </c>
      <c r="C23" s="3">
        <v>11319.950999999999</v>
      </c>
      <c r="D23" s="3">
        <v>66.451999999999998</v>
      </c>
      <c r="E23" s="3">
        <v>4862.4359999999997</v>
      </c>
      <c r="F23" s="3">
        <v>1166.854</v>
      </c>
      <c r="G23" s="3">
        <v>3074.3290000000002</v>
      </c>
      <c r="H23" s="3">
        <v>621.25199999999995</v>
      </c>
      <c r="I23" s="3">
        <v>7231.0320000000002</v>
      </c>
      <c r="J23" s="3">
        <f>E23/D23*100</f>
        <v>7317.2154336965023</v>
      </c>
      <c r="K23" s="3">
        <f>F23/D23*100</f>
        <v>1755.9351110576056</v>
      </c>
      <c r="L23" s="3">
        <f>G23/D23*100</f>
        <v>4626.3904773370259</v>
      </c>
      <c r="M23" s="3">
        <f>H23/D23*100</f>
        <v>934.88834045626913</v>
      </c>
      <c r="N23">
        <v>265388</v>
      </c>
      <c r="O23" s="3">
        <v>62.642000000000003</v>
      </c>
      <c r="P23" s="2">
        <v>84.948999999999998</v>
      </c>
      <c r="Q23">
        <v>480.10666666666674</v>
      </c>
      <c r="R23" s="1">
        <v>0.95241616129956364</v>
      </c>
      <c r="S23" s="1">
        <v>183.82</v>
      </c>
      <c r="T23" s="1">
        <v>124848.66666666667</v>
      </c>
    </row>
    <row r="24" spans="1:20" x14ac:dyDescent="0.2">
      <c r="A24" t="s">
        <v>119</v>
      </c>
      <c r="B24" s="3">
        <v>7580.9970000000003</v>
      </c>
      <c r="C24" s="3">
        <v>11353.721</v>
      </c>
      <c r="D24" s="3">
        <v>66.771000000000001</v>
      </c>
      <c r="E24" s="3">
        <v>4933.6090000000004</v>
      </c>
      <c r="F24" s="3">
        <v>1176.9839999999999</v>
      </c>
      <c r="G24" s="3">
        <v>3129.7109999999998</v>
      </c>
      <c r="H24" s="3">
        <v>626.91399999999999</v>
      </c>
      <c r="I24" s="3">
        <v>7294.424</v>
      </c>
      <c r="J24" s="3">
        <f>E24/D24*100</f>
        <v>7388.8499498285182</v>
      </c>
      <c r="K24" s="3">
        <f>F24/D24*100</f>
        <v>1762.7173473513949</v>
      </c>
      <c r="L24" s="3">
        <f>G24/D24*100</f>
        <v>4687.2309835108053</v>
      </c>
      <c r="M24" s="3">
        <f>H24/D24*100</f>
        <v>938.90161896631776</v>
      </c>
      <c r="N24">
        <v>266142</v>
      </c>
      <c r="O24" s="3">
        <v>62.935000000000002</v>
      </c>
      <c r="P24" s="2">
        <v>84.826999999999998</v>
      </c>
      <c r="Q24">
        <v>523.69000000000005</v>
      </c>
      <c r="R24" s="1">
        <v>4.0202871931522743</v>
      </c>
      <c r="S24" s="1">
        <v>186.84</v>
      </c>
      <c r="T24" s="1">
        <v>124629.33333333333</v>
      </c>
    </row>
    <row r="25" spans="1:20" x14ac:dyDescent="0.2">
      <c r="A25" t="s">
        <v>118</v>
      </c>
      <c r="B25" s="3">
        <v>7683.125</v>
      </c>
      <c r="C25" s="3">
        <v>11450.31</v>
      </c>
      <c r="D25" s="3">
        <v>67.099999999999994</v>
      </c>
      <c r="E25" s="3">
        <v>4998.6620000000003</v>
      </c>
      <c r="F25" s="3">
        <v>1183.691</v>
      </c>
      <c r="G25" s="3">
        <v>3172.4270000000001</v>
      </c>
      <c r="H25" s="3">
        <v>642.54300000000001</v>
      </c>
      <c r="I25" s="3">
        <v>7360.5290000000005</v>
      </c>
      <c r="J25" s="3">
        <f>E25/D25*100</f>
        <v>7449.570789865872</v>
      </c>
      <c r="K25" s="3">
        <f>F25/D25*100</f>
        <v>1764.0700447093891</v>
      </c>
      <c r="L25" s="3">
        <f>G25/D25*100</f>
        <v>4727.9090909090919</v>
      </c>
      <c r="M25" s="3">
        <f>H25/D25*100</f>
        <v>957.5901639344263</v>
      </c>
      <c r="N25">
        <v>267000</v>
      </c>
      <c r="O25" s="3">
        <v>62.93</v>
      </c>
      <c r="P25" s="2">
        <v>85.801000000000002</v>
      </c>
      <c r="Q25">
        <v>565.08333333333337</v>
      </c>
      <c r="R25" s="1">
        <v>0.66363442818111507</v>
      </c>
      <c r="S25" s="1">
        <v>189.72</v>
      </c>
      <c r="T25" s="1">
        <v>124933.66666666667</v>
      </c>
    </row>
    <row r="26" spans="1:20" x14ac:dyDescent="0.2">
      <c r="A26" t="s">
        <v>117</v>
      </c>
      <c r="B26" s="3">
        <v>7772.5860000000002</v>
      </c>
      <c r="C26" s="3">
        <v>11528.066999999999</v>
      </c>
      <c r="D26" s="3">
        <v>67.423000000000002</v>
      </c>
      <c r="E26" s="3">
        <v>5055.6549999999997</v>
      </c>
      <c r="F26" s="3">
        <v>1191.6510000000001</v>
      </c>
      <c r="G26" s="3">
        <v>3211.7620000000002</v>
      </c>
      <c r="H26" s="3">
        <v>652.24199999999996</v>
      </c>
      <c r="I26" s="3">
        <v>7411.8729999999996</v>
      </c>
      <c r="J26" s="3">
        <f>E26/D26*100</f>
        <v>7498.4130044643507</v>
      </c>
      <c r="K26" s="3">
        <f>F26/D26*100</f>
        <v>1767.425062664076</v>
      </c>
      <c r="L26" s="3">
        <f>G26/D26*100</f>
        <v>4763.5999584711453</v>
      </c>
      <c r="M26" s="3">
        <f>H26/D26*100</f>
        <v>967.38798332913098</v>
      </c>
      <c r="N26">
        <v>267820</v>
      </c>
      <c r="O26" s="3">
        <v>63.274000000000001</v>
      </c>
      <c r="P26" s="2">
        <v>86.02</v>
      </c>
      <c r="Q26">
        <v>597.67333333333329</v>
      </c>
      <c r="R26" s="1">
        <v>0.8983168887385149</v>
      </c>
      <c r="S26" s="1">
        <v>191.19</v>
      </c>
      <c r="T26" s="1">
        <v>125221.33333333333</v>
      </c>
    </row>
    <row r="27" spans="1:20" x14ac:dyDescent="0.2">
      <c r="A27" t="s">
        <v>116</v>
      </c>
      <c r="B27" s="3">
        <v>7868.4679999999998</v>
      </c>
      <c r="C27" s="3">
        <v>11614.418</v>
      </c>
      <c r="D27" s="3">
        <v>67.747</v>
      </c>
      <c r="E27" s="3">
        <v>5130.6149999999998</v>
      </c>
      <c r="F27" s="3">
        <v>1211.173</v>
      </c>
      <c r="G27" s="3">
        <v>3259.6170000000002</v>
      </c>
      <c r="H27" s="3">
        <v>659.82500000000005</v>
      </c>
      <c r="I27" s="3">
        <v>7480.2309999999998</v>
      </c>
      <c r="J27" s="3">
        <f>E27/D27*100</f>
        <v>7573.1988132315819</v>
      </c>
      <c r="K27" s="3">
        <f>F27/D27*100</f>
        <v>1787.7883891537631</v>
      </c>
      <c r="L27" s="3">
        <f>G27/D27*100</f>
        <v>4811.455857823963</v>
      </c>
      <c r="M27" s="3">
        <f>H27/D27*100</f>
        <v>973.95456625385646</v>
      </c>
      <c r="N27">
        <v>268487</v>
      </c>
      <c r="O27" s="3">
        <v>63.665999999999997</v>
      </c>
      <c r="P27" s="2">
        <v>86.186000000000007</v>
      </c>
      <c r="Q27">
        <v>637.0100000000001</v>
      </c>
      <c r="R27" s="1">
        <v>6.6430872928429547</v>
      </c>
      <c r="S27" s="1">
        <v>193.32</v>
      </c>
      <c r="T27" s="1">
        <v>125542</v>
      </c>
    </row>
    <row r="28" spans="1:20" x14ac:dyDescent="0.2">
      <c r="A28" t="s">
        <v>115</v>
      </c>
      <c r="B28" s="3">
        <v>8032.84</v>
      </c>
      <c r="C28" s="3">
        <v>11808.14</v>
      </c>
      <c r="D28" s="3">
        <v>68.028000000000006</v>
      </c>
      <c r="E28" s="3">
        <v>5220.4989999999998</v>
      </c>
      <c r="F28" s="3">
        <v>1239.5409999999999</v>
      </c>
      <c r="G28" s="3">
        <v>3304.6260000000002</v>
      </c>
      <c r="H28" s="3">
        <v>676.33199999999999</v>
      </c>
      <c r="I28" s="3">
        <v>7560.7020000000002</v>
      </c>
      <c r="J28" s="3">
        <f>E28/D28*100</f>
        <v>7674.0445110836699</v>
      </c>
      <c r="K28" s="3">
        <f>F28/D28*100</f>
        <v>1822.1041335920499</v>
      </c>
      <c r="L28" s="3">
        <f>G28/D28*100</f>
        <v>4857.7438701711062</v>
      </c>
      <c r="M28" s="3">
        <f>H28/D28*100</f>
        <v>994.19650732051502</v>
      </c>
      <c r="N28">
        <v>269251</v>
      </c>
      <c r="O28" s="3">
        <v>64.284000000000006</v>
      </c>
      <c r="P28" s="2">
        <v>86.992999999999995</v>
      </c>
      <c r="Q28">
        <v>658.9666666666667</v>
      </c>
      <c r="R28" s="1">
        <v>-2.8034393265495261</v>
      </c>
      <c r="S28" s="1">
        <v>193.63</v>
      </c>
      <c r="T28" s="1">
        <v>126280</v>
      </c>
    </row>
    <row r="29" spans="1:20" x14ac:dyDescent="0.2">
      <c r="A29" t="s">
        <v>114</v>
      </c>
      <c r="B29" s="3">
        <v>8131.4080000000004</v>
      </c>
      <c r="C29" s="3">
        <v>11914.063</v>
      </c>
      <c r="D29" s="3">
        <v>68.251000000000005</v>
      </c>
      <c r="E29" s="3">
        <v>5274.5050000000001</v>
      </c>
      <c r="F29" s="3">
        <v>1246.5050000000001</v>
      </c>
      <c r="G29" s="3">
        <v>3348.6179999999999</v>
      </c>
      <c r="H29" s="3">
        <v>679.38199999999995</v>
      </c>
      <c r="I29" s="3">
        <v>7606.4750000000004</v>
      </c>
      <c r="J29" s="3">
        <f>E29/D29*100</f>
        <v>7728.0992219894215</v>
      </c>
      <c r="K29" s="3">
        <f>F29/D29*100</f>
        <v>1826.3541926125627</v>
      </c>
      <c r="L29" s="3">
        <f>G29/D29*100</f>
        <v>4906.3281124086088</v>
      </c>
      <c r="M29" s="3">
        <f>H29/D29*100</f>
        <v>995.41691696824944</v>
      </c>
      <c r="N29">
        <v>270128</v>
      </c>
      <c r="O29" s="3">
        <v>64.522000000000006</v>
      </c>
      <c r="P29" s="2">
        <v>87.715999999999994</v>
      </c>
      <c r="Q29">
        <v>660.54333333333341</v>
      </c>
      <c r="R29" s="1">
        <v>-0.35320746755542687</v>
      </c>
      <c r="S29" s="1">
        <v>194.5</v>
      </c>
      <c r="T29" s="1">
        <v>127218.33333333333</v>
      </c>
    </row>
    <row r="30" spans="1:20" x14ac:dyDescent="0.2">
      <c r="A30" t="s">
        <v>113</v>
      </c>
      <c r="B30" s="3">
        <v>8259.7710000000006</v>
      </c>
      <c r="C30" s="3">
        <v>12037.775</v>
      </c>
      <c r="D30" s="3">
        <v>68.614999999999995</v>
      </c>
      <c r="E30" s="3">
        <v>5352.7629999999999</v>
      </c>
      <c r="F30" s="3">
        <v>1268.2850000000001</v>
      </c>
      <c r="G30" s="3">
        <v>3394.8380000000002</v>
      </c>
      <c r="H30" s="3">
        <v>689.64099999999996</v>
      </c>
      <c r="I30" s="3">
        <v>7667.0619999999999</v>
      </c>
      <c r="J30" s="3">
        <f>E30/D30*100</f>
        <v>7801.1557239670638</v>
      </c>
      <c r="K30" s="3">
        <f>F30/D30*100</f>
        <v>1848.407782554835</v>
      </c>
      <c r="L30" s="3">
        <f>G30/D30*100</f>
        <v>4947.6615900313345</v>
      </c>
      <c r="M30" s="3">
        <f>H30/D30*100</f>
        <v>1005.0878087881658</v>
      </c>
      <c r="N30">
        <v>270991</v>
      </c>
      <c r="O30" s="3">
        <v>64.587000000000003</v>
      </c>
      <c r="P30" s="2">
        <v>88.704999999999998</v>
      </c>
      <c r="Q30">
        <v>726.79333333333341</v>
      </c>
      <c r="R30" s="1">
        <v>1.8829661057650005</v>
      </c>
      <c r="S30" s="1">
        <v>196.02</v>
      </c>
      <c r="T30" s="1">
        <v>127840.33333333333</v>
      </c>
    </row>
    <row r="31" spans="1:20" x14ac:dyDescent="0.2">
      <c r="A31" t="s">
        <v>112</v>
      </c>
      <c r="B31" s="3">
        <v>8362.6550000000007</v>
      </c>
      <c r="C31" s="3">
        <v>12115.472</v>
      </c>
      <c r="D31" s="3">
        <v>69.025000000000006</v>
      </c>
      <c r="E31" s="3">
        <v>5433.1049999999996</v>
      </c>
      <c r="F31" s="3">
        <v>1281.0170000000001</v>
      </c>
      <c r="G31" s="3">
        <v>3446.4969999999998</v>
      </c>
      <c r="H31" s="3">
        <v>705.59100000000001</v>
      </c>
      <c r="I31" s="3">
        <v>7747.88</v>
      </c>
      <c r="J31" s="3">
        <f>E31/D31*100</f>
        <v>7871.2133285041646</v>
      </c>
      <c r="K31" s="3">
        <f>F31/D31*100</f>
        <v>1855.8739587106122</v>
      </c>
      <c r="L31" s="3">
        <f>G31/D31*100</f>
        <v>4993.1140890981524</v>
      </c>
      <c r="M31" s="3">
        <f>H31/D31*100</f>
        <v>1022.2252806954001</v>
      </c>
      <c r="N31">
        <v>271709</v>
      </c>
      <c r="O31" s="3">
        <v>64.447000000000003</v>
      </c>
      <c r="P31" s="2">
        <v>89.468000000000004</v>
      </c>
      <c r="Q31">
        <v>785.59</v>
      </c>
      <c r="R31" s="1">
        <v>-2.2830223618124799</v>
      </c>
      <c r="S31" s="1">
        <v>197.63</v>
      </c>
      <c r="T31" s="1">
        <v>128495.66666666667</v>
      </c>
    </row>
    <row r="32" spans="1:20" x14ac:dyDescent="0.2">
      <c r="A32" t="s">
        <v>111</v>
      </c>
      <c r="B32" s="3">
        <v>8518.8250000000007</v>
      </c>
      <c r="C32" s="3">
        <v>12317.221</v>
      </c>
      <c r="D32" s="3">
        <v>69.162000000000006</v>
      </c>
      <c r="E32" s="3">
        <v>5471.2669999999998</v>
      </c>
      <c r="F32" s="3">
        <v>1277.72</v>
      </c>
      <c r="G32" s="3">
        <v>3496.96</v>
      </c>
      <c r="H32" s="3">
        <v>696.58699999999999</v>
      </c>
      <c r="I32" s="3">
        <v>7782.76</v>
      </c>
      <c r="J32" s="3">
        <f>E32/D32*100</f>
        <v>7910.7992828431788</v>
      </c>
      <c r="K32" s="3">
        <f>F32/D32*100</f>
        <v>1847.4306700211098</v>
      </c>
      <c r="L32" s="3">
        <f>G32/D32*100</f>
        <v>5056.1869234550759</v>
      </c>
      <c r="M32" s="3">
        <f>H32/D32*100</f>
        <v>1007.1816893669933</v>
      </c>
      <c r="N32">
        <v>272487</v>
      </c>
      <c r="O32" s="3">
        <v>65.399000000000001</v>
      </c>
      <c r="P32" s="2">
        <v>89.905000000000001</v>
      </c>
      <c r="Q32">
        <v>824.43666666666661</v>
      </c>
      <c r="R32" s="1">
        <v>3.3162423080166437</v>
      </c>
      <c r="S32" s="1">
        <v>199.27</v>
      </c>
      <c r="T32" s="1">
        <v>129339.66666666667</v>
      </c>
    </row>
    <row r="33" spans="1:20" x14ac:dyDescent="0.2">
      <c r="A33" t="s">
        <v>110</v>
      </c>
      <c r="B33" s="3">
        <v>8662.8230000000003</v>
      </c>
      <c r="C33" s="3">
        <v>12471.01</v>
      </c>
      <c r="D33" s="3">
        <v>69.463999999999999</v>
      </c>
      <c r="E33" s="3">
        <v>5579.1790000000001</v>
      </c>
      <c r="F33" s="3">
        <v>1297.345</v>
      </c>
      <c r="G33" s="3">
        <v>3559.0549999999998</v>
      </c>
      <c r="H33" s="3">
        <v>722.779</v>
      </c>
      <c r="I33" s="3">
        <v>7915.3590000000004</v>
      </c>
      <c r="J33" s="3">
        <f>E33/D33*100</f>
        <v>8031.7560175054705</v>
      </c>
      <c r="K33" s="3">
        <f>F33/D33*100</f>
        <v>1867.6508695151447</v>
      </c>
      <c r="L33" s="3">
        <f>G33/D33*100</f>
        <v>5123.5963952550965</v>
      </c>
      <c r="M33" s="3">
        <f>H33/D33*100</f>
        <v>1040.5087527352298</v>
      </c>
      <c r="N33">
        <v>273391</v>
      </c>
      <c r="O33" s="3">
        <v>65.924999999999997</v>
      </c>
      <c r="P33" s="2">
        <v>90.448999999999998</v>
      </c>
      <c r="Q33">
        <v>929.85</v>
      </c>
      <c r="R33" s="1">
        <v>4.2733076934578627</v>
      </c>
      <c r="S33" s="1">
        <v>201.99</v>
      </c>
      <c r="T33" s="1">
        <v>129950.33333333333</v>
      </c>
    </row>
    <row r="34" spans="1:20" x14ac:dyDescent="0.2">
      <c r="A34" t="s">
        <v>109</v>
      </c>
      <c r="B34" s="3">
        <v>8765.9069999999992</v>
      </c>
      <c r="C34" s="3">
        <v>12577.495000000001</v>
      </c>
      <c r="D34" s="3">
        <v>69.694999999999993</v>
      </c>
      <c r="E34" s="3">
        <v>5663.61</v>
      </c>
      <c r="F34" s="3">
        <v>1307.8209999999999</v>
      </c>
      <c r="G34" s="3">
        <v>3618.627</v>
      </c>
      <c r="H34" s="3">
        <v>737.16099999999994</v>
      </c>
      <c r="I34" s="3">
        <v>8009.9639999999999</v>
      </c>
      <c r="J34" s="3">
        <f>E34/D34*100</f>
        <v>8126.2787861396091</v>
      </c>
      <c r="K34" s="3">
        <f>F34/D34*100</f>
        <v>1876.4918573785781</v>
      </c>
      <c r="L34" s="3">
        <f>G34/D34*100</f>
        <v>5192.0898199296944</v>
      </c>
      <c r="M34" s="3">
        <f>H34/D34*100</f>
        <v>1057.6956740081785</v>
      </c>
      <c r="N34">
        <v>274246</v>
      </c>
      <c r="O34" s="3">
        <v>66.245999999999995</v>
      </c>
      <c r="P34" s="2">
        <v>90.870999999999995</v>
      </c>
      <c r="Q34">
        <v>950.81666666666661</v>
      </c>
      <c r="R34" s="1">
        <v>-0.47226971241458582</v>
      </c>
      <c r="S34" s="1">
        <v>204.61</v>
      </c>
      <c r="T34" s="1">
        <v>130503.66666666667</v>
      </c>
    </row>
    <row r="35" spans="1:20" x14ac:dyDescent="0.2">
      <c r="A35" t="s">
        <v>108</v>
      </c>
      <c r="B35" s="3">
        <v>8866.48</v>
      </c>
      <c r="C35" s="3">
        <v>12703.742</v>
      </c>
      <c r="D35" s="3">
        <v>69.793999999999997</v>
      </c>
      <c r="E35" s="3">
        <v>5721.3419999999996</v>
      </c>
      <c r="F35" s="3">
        <v>1306.6790000000001</v>
      </c>
      <c r="G35" s="3">
        <v>3676.9609999999998</v>
      </c>
      <c r="H35" s="3">
        <v>737.702</v>
      </c>
      <c r="I35" s="3">
        <v>8090.9870000000001</v>
      </c>
      <c r="J35" s="3">
        <f>E35/D35*100</f>
        <v>8197.4696965355197</v>
      </c>
      <c r="K35" s="3">
        <f>F35/D35*100</f>
        <v>1872.1938848611633</v>
      </c>
      <c r="L35" s="3">
        <f>G35/D35*100</f>
        <v>5268.3052984497235</v>
      </c>
      <c r="M35" s="3">
        <f>H35/D35*100</f>
        <v>1056.9705132246324</v>
      </c>
      <c r="N35">
        <v>274950</v>
      </c>
      <c r="O35" s="3">
        <v>66.858999999999995</v>
      </c>
      <c r="P35" s="2">
        <v>91.43</v>
      </c>
      <c r="Q35">
        <v>1021.31</v>
      </c>
      <c r="R35" s="1">
        <v>2.9954131338673036</v>
      </c>
      <c r="S35" s="1">
        <v>207.69</v>
      </c>
      <c r="T35" s="1">
        <v>130782.33333333333</v>
      </c>
    </row>
    <row r="36" spans="1:20" x14ac:dyDescent="0.2">
      <c r="A36" t="s">
        <v>107</v>
      </c>
      <c r="B36" s="3">
        <v>8969.6990000000005</v>
      </c>
      <c r="C36" s="3">
        <v>12821.339</v>
      </c>
      <c r="D36" s="3">
        <v>69.959000000000003</v>
      </c>
      <c r="E36" s="3">
        <v>5832.5659999999998</v>
      </c>
      <c r="F36" s="3">
        <v>1319.925</v>
      </c>
      <c r="G36" s="3">
        <v>3743.404</v>
      </c>
      <c r="H36" s="3">
        <v>769.23800000000006</v>
      </c>
      <c r="I36" s="3">
        <v>8233.4629999999997</v>
      </c>
      <c r="J36" s="3">
        <f>E36/D36*100</f>
        <v>8337.1203133263771</v>
      </c>
      <c r="K36" s="3">
        <f>F36/D36*100</f>
        <v>1886.7122171557626</v>
      </c>
      <c r="L36" s="3">
        <f>G36/D36*100</f>
        <v>5350.8540716705493</v>
      </c>
      <c r="M36" s="3">
        <f>H36/D36*100</f>
        <v>1099.5554539087179</v>
      </c>
      <c r="N36">
        <v>275703</v>
      </c>
      <c r="O36" s="3">
        <v>67.195999999999998</v>
      </c>
      <c r="P36" s="2">
        <v>91.91</v>
      </c>
      <c r="Q36">
        <v>1109.67</v>
      </c>
      <c r="R36" s="1">
        <v>4.8269124522689237</v>
      </c>
      <c r="S36" s="1">
        <v>209.52</v>
      </c>
      <c r="T36" s="1">
        <v>131259.33333333334</v>
      </c>
    </row>
    <row r="37" spans="1:20" x14ac:dyDescent="0.2">
      <c r="A37" t="s">
        <v>106</v>
      </c>
      <c r="B37" s="3">
        <v>9121.0969999999998</v>
      </c>
      <c r="C37" s="3">
        <v>12982.752</v>
      </c>
      <c r="D37" s="3">
        <v>70.254999999999995</v>
      </c>
      <c r="E37" s="3">
        <v>5926.8459999999995</v>
      </c>
      <c r="F37" s="3">
        <v>1334.82</v>
      </c>
      <c r="G37" s="3">
        <v>3806.982</v>
      </c>
      <c r="H37" s="3">
        <v>785.04399999999998</v>
      </c>
      <c r="I37" s="3">
        <v>8340.8310000000001</v>
      </c>
      <c r="J37" s="3">
        <f>E37/D37*100</f>
        <v>8436.1910184328517</v>
      </c>
      <c r="K37" s="3">
        <f>F37/D37*100</f>
        <v>1899.9644153441036</v>
      </c>
      <c r="L37" s="3">
        <f>G37/D37*100</f>
        <v>5418.8057789481181</v>
      </c>
      <c r="M37" s="3">
        <f>H37/D37*100</f>
        <v>1117.4208241406307</v>
      </c>
      <c r="N37">
        <v>276564</v>
      </c>
      <c r="O37" s="3">
        <v>68.103999999999999</v>
      </c>
      <c r="P37" s="2">
        <v>92.046999999999997</v>
      </c>
      <c r="Q37">
        <v>1083.9466666666665</v>
      </c>
      <c r="R37" s="1">
        <v>4.1173236632457062</v>
      </c>
      <c r="S37" s="1">
        <v>212.46</v>
      </c>
      <c r="T37" s="1">
        <v>131568.33333333334</v>
      </c>
    </row>
    <row r="38" spans="1:20" x14ac:dyDescent="0.2">
      <c r="A38" t="s">
        <v>105</v>
      </c>
      <c r="B38" s="3">
        <v>9293.991</v>
      </c>
      <c r="C38" s="3">
        <v>13191.67</v>
      </c>
      <c r="D38" s="3">
        <v>70.453000000000003</v>
      </c>
      <c r="E38" s="3">
        <v>6028.2380000000003</v>
      </c>
      <c r="F38" s="3">
        <v>1355.16</v>
      </c>
      <c r="G38" s="3">
        <v>3847.8890000000001</v>
      </c>
      <c r="H38" s="3">
        <v>825.18899999999996</v>
      </c>
      <c r="I38" s="3">
        <v>8461.33</v>
      </c>
      <c r="J38" s="3">
        <f>E38/D38*100</f>
        <v>8556.396462890154</v>
      </c>
      <c r="K38" s="3">
        <f>F38/D38*100</f>
        <v>1923.4950960214612</v>
      </c>
      <c r="L38" s="3">
        <f>G38/D38*100</f>
        <v>5461.639674676735</v>
      </c>
      <c r="M38" s="3">
        <f>H38/D38*100</f>
        <v>1171.2616921919575</v>
      </c>
      <c r="N38">
        <v>277400</v>
      </c>
      <c r="O38" s="3">
        <v>68.628</v>
      </c>
      <c r="P38" s="2">
        <v>93.177999999999997</v>
      </c>
      <c r="Q38">
        <v>1122.3166666666666</v>
      </c>
      <c r="R38" s="1">
        <v>-1.4227902706019857</v>
      </c>
      <c r="S38" s="1">
        <v>214.98</v>
      </c>
      <c r="T38" s="1">
        <v>132293.66666666666</v>
      </c>
    </row>
    <row r="39" spans="1:20" x14ac:dyDescent="0.2">
      <c r="A39" t="s">
        <v>104</v>
      </c>
      <c r="B39" s="3">
        <v>9411.6820000000007</v>
      </c>
      <c r="C39" s="3">
        <v>13315.597</v>
      </c>
      <c r="D39" s="3">
        <v>70.682000000000002</v>
      </c>
      <c r="E39" s="3">
        <v>6102.04</v>
      </c>
      <c r="F39" s="3">
        <v>1384.9449999999999</v>
      </c>
      <c r="G39" s="3">
        <v>3897.1469999999999</v>
      </c>
      <c r="H39" s="3">
        <v>819.94799999999998</v>
      </c>
      <c r="I39" s="3">
        <v>8548.2350000000006</v>
      </c>
      <c r="J39" s="3">
        <f>E39/D39*100</f>
        <v>8633.089046716279</v>
      </c>
      <c r="K39" s="3">
        <f>F39/D39*100</f>
        <v>1959.4026767776804</v>
      </c>
      <c r="L39" s="3">
        <f>G39/D39*100</f>
        <v>5513.6343057638433</v>
      </c>
      <c r="M39" s="3">
        <f>H39/D39*100</f>
        <v>1160.0520641747546</v>
      </c>
      <c r="N39">
        <v>278103</v>
      </c>
      <c r="O39" s="3">
        <v>69.578999999999994</v>
      </c>
      <c r="P39" s="2">
        <v>93.042000000000002</v>
      </c>
      <c r="Q39">
        <v>1259.0033333333333</v>
      </c>
      <c r="R39" s="1">
        <v>6.50564993989288</v>
      </c>
      <c r="S39" s="1">
        <v>217.23</v>
      </c>
      <c r="T39" s="1">
        <v>132943.33333333334</v>
      </c>
    </row>
    <row r="40" spans="1:20" x14ac:dyDescent="0.2">
      <c r="A40" t="s">
        <v>103</v>
      </c>
      <c r="B40" s="3">
        <v>9526.2099999999991</v>
      </c>
      <c r="C40" s="3">
        <v>13426.748</v>
      </c>
      <c r="D40" s="3">
        <v>70.948999999999998</v>
      </c>
      <c r="E40" s="3">
        <v>6230.6409999999996</v>
      </c>
      <c r="F40" s="3">
        <v>1418.268</v>
      </c>
      <c r="G40" s="3">
        <v>3957.569</v>
      </c>
      <c r="H40" s="3">
        <v>854.80499999999995</v>
      </c>
      <c r="I40" s="3">
        <v>8679.143</v>
      </c>
      <c r="J40" s="3">
        <f>E40/D40*100</f>
        <v>8781.858799983087</v>
      </c>
      <c r="K40" s="3">
        <f>F40/D40*100</f>
        <v>1998.99646224753</v>
      </c>
      <c r="L40" s="3">
        <f>G40/D40*100</f>
        <v>5578.0476116647169</v>
      </c>
      <c r="M40" s="3">
        <f>H40/D40*100</f>
        <v>1204.8161355339751</v>
      </c>
      <c r="N40">
        <v>278864</v>
      </c>
      <c r="O40" s="3">
        <v>69.834000000000003</v>
      </c>
      <c r="P40" s="2">
        <v>93.552000000000007</v>
      </c>
      <c r="Q40">
        <v>1329.7933333333333</v>
      </c>
      <c r="R40" s="1">
        <v>-0.81823983700837821</v>
      </c>
      <c r="S40" s="1">
        <v>220.12</v>
      </c>
      <c r="T40" s="1">
        <v>133214.66666666666</v>
      </c>
    </row>
    <row r="41" spans="1:20" x14ac:dyDescent="0.2">
      <c r="A41" t="s">
        <v>102</v>
      </c>
      <c r="B41" s="3">
        <v>9686.6260000000002</v>
      </c>
      <c r="C41" s="3">
        <v>13604.771000000001</v>
      </c>
      <c r="D41" s="3">
        <v>71.2</v>
      </c>
      <c r="E41" s="3">
        <v>6335.31</v>
      </c>
      <c r="F41" s="3">
        <v>1440.0709999999999</v>
      </c>
      <c r="G41" s="3">
        <v>4024.047</v>
      </c>
      <c r="H41" s="3">
        <v>871.19100000000003</v>
      </c>
      <c r="I41" s="3">
        <v>8776.7150000000001</v>
      </c>
      <c r="J41" s="3">
        <f>E41/D41*100</f>
        <v>8897.9073033707864</v>
      </c>
      <c r="K41" s="3">
        <f>F41/D41*100</f>
        <v>2022.571629213483</v>
      </c>
      <c r="L41" s="3">
        <f>G41/D41*100</f>
        <v>5651.7514044943819</v>
      </c>
      <c r="M41" s="3">
        <f>H41/D41*100</f>
        <v>1223.5828651685392</v>
      </c>
      <c r="N41">
        <v>279751</v>
      </c>
      <c r="O41" s="3">
        <v>70.468999999999994</v>
      </c>
      <c r="P41" s="2">
        <v>94.159000000000006</v>
      </c>
      <c r="Q41">
        <v>1342.2166666666667</v>
      </c>
      <c r="R41" s="1">
        <v>1.1236168434746676</v>
      </c>
      <c r="S41" s="1">
        <v>223.25</v>
      </c>
      <c r="T41" s="1">
        <v>133570.66666666666</v>
      </c>
    </row>
    <row r="42" spans="1:20" x14ac:dyDescent="0.2">
      <c r="A42" t="s">
        <v>101</v>
      </c>
      <c r="B42" s="3">
        <v>9900.1689999999999</v>
      </c>
      <c r="C42" s="3">
        <v>13827.98</v>
      </c>
      <c r="D42" s="3">
        <v>71.594999999999999</v>
      </c>
      <c r="E42" s="3">
        <v>6467.0389999999998</v>
      </c>
      <c r="F42" s="3">
        <v>1482.69</v>
      </c>
      <c r="G42" s="3">
        <v>4108.0200000000004</v>
      </c>
      <c r="H42" s="3">
        <v>876.32899999999995</v>
      </c>
      <c r="I42" s="3">
        <v>8905.0930000000008</v>
      </c>
      <c r="J42" s="3">
        <f>E42/D42*100</f>
        <v>9032.8081569942024</v>
      </c>
      <c r="K42" s="3">
        <f>F42/D42*100</f>
        <v>2070.9407081500108</v>
      </c>
      <c r="L42" s="3">
        <f>G42/D42*100</f>
        <v>5737.8587890215804</v>
      </c>
      <c r="M42" s="3">
        <f>H42/D42*100</f>
        <v>1224.0086598226133</v>
      </c>
      <c r="N42">
        <v>280592</v>
      </c>
      <c r="O42" s="3">
        <v>71.516000000000005</v>
      </c>
      <c r="P42" s="2">
        <v>94.543999999999997</v>
      </c>
      <c r="Q42">
        <v>1373.2300000000002</v>
      </c>
      <c r="R42" s="1">
        <v>4.8825899324009736</v>
      </c>
      <c r="S42" s="1">
        <v>225.54</v>
      </c>
      <c r="T42" s="1">
        <v>134275</v>
      </c>
    </row>
    <row r="43" spans="1:20" x14ac:dyDescent="0.2">
      <c r="A43" t="s">
        <v>100</v>
      </c>
      <c r="B43" s="3">
        <v>10002.179</v>
      </c>
      <c r="C43" s="3">
        <v>13878.147000000001</v>
      </c>
      <c r="D43" s="3">
        <v>72.070999999999998</v>
      </c>
      <c r="E43" s="3">
        <v>6618.2169999999996</v>
      </c>
      <c r="F43" s="3">
        <v>1492.211</v>
      </c>
      <c r="G43" s="3">
        <v>4205.1310000000003</v>
      </c>
      <c r="H43" s="3">
        <v>920.875</v>
      </c>
      <c r="I43" s="3">
        <v>9039.7430000000004</v>
      </c>
      <c r="J43" s="3">
        <f>E43/D43*100</f>
        <v>9182.9126833261635</v>
      </c>
      <c r="K43" s="3">
        <f>F43/D43*100</f>
        <v>2070.4735607942171</v>
      </c>
      <c r="L43" s="3">
        <f>G43/D43*100</f>
        <v>5834.7060537525504</v>
      </c>
      <c r="M43" s="3">
        <f>H43/D43*100</f>
        <v>1277.7330687793981</v>
      </c>
      <c r="N43">
        <v>281304</v>
      </c>
      <c r="O43" s="3">
        <v>71.221999999999994</v>
      </c>
      <c r="P43" s="2">
        <v>94.989000000000004</v>
      </c>
      <c r="Q43">
        <v>1418.89</v>
      </c>
      <c r="R43" s="1">
        <v>3.7982899892959665E-2</v>
      </c>
      <c r="S43" s="1">
        <v>229.85</v>
      </c>
      <c r="T43" s="1">
        <v>136619.33333333334</v>
      </c>
    </row>
    <row r="44" spans="1:20" x14ac:dyDescent="0.2">
      <c r="A44" t="s">
        <v>99</v>
      </c>
      <c r="B44" s="3">
        <v>10247.719999999999</v>
      </c>
      <c r="C44" s="3">
        <v>14130.907999999999</v>
      </c>
      <c r="D44" s="3">
        <v>72.52</v>
      </c>
      <c r="E44" s="3">
        <v>6711.9110000000001</v>
      </c>
      <c r="F44" s="3">
        <v>1535.1179999999999</v>
      </c>
      <c r="G44" s="3">
        <v>4274.8609999999999</v>
      </c>
      <c r="H44" s="3">
        <v>901.93100000000004</v>
      </c>
      <c r="I44" s="3">
        <v>9124.152</v>
      </c>
      <c r="J44" s="3">
        <f>E44/D44*100</f>
        <v>9255.2551020408173</v>
      </c>
      <c r="K44" s="3">
        <f>F44/D44*100</f>
        <v>2116.820187534473</v>
      </c>
      <c r="L44" s="3">
        <f>G44/D44*100</f>
        <v>5894.7338665195812</v>
      </c>
      <c r="M44" s="3">
        <f>H44/D44*100</f>
        <v>1243.6996690568121</v>
      </c>
      <c r="N44">
        <v>282002</v>
      </c>
      <c r="O44" s="3">
        <v>72.656999999999996</v>
      </c>
      <c r="P44" s="2">
        <v>95.247</v>
      </c>
      <c r="Q44">
        <v>1447.2666666666667</v>
      </c>
      <c r="R44" s="1">
        <v>3.9891372606783992</v>
      </c>
      <c r="S44" s="1">
        <v>233.61</v>
      </c>
      <c r="T44" s="1">
        <v>136946.66666666666</v>
      </c>
    </row>
    <row r="45" spans="1:20" x14ac:dyDescent="0.2">
      <c r="A45" t="s">
        <v>98</v>
      </c>
      <c r="B45" s="3">
        <v>10318.165000000001</v>
      </c>
      <c r="C45" s="3">
        <v>14145.312</v>
      </c>
      <c r="D45" s="3">
        <v>72.944000000000003</v>
      </c>
      <c r="E45" s="3">
        <v>6819.9840000000004</v>
      </c>
      <c r="F45" s="3">
        <v>1557.492</v>
      </c>
      <c r="G45" s="3">
        <v>4350.8339999999998</v>
      </c>
      <c r="H45" s="3">
        <v>911.65800000000002</v>
      </c>
      <c r="I45" s="3">
        <v>9211.5689999999995</v>
      </c>
      <c r="J45" s="3">
        <f>E45/D45*100</f>
        <v>9349.616143891204</v>
      </c>
      <c r="K45" s="3">
        <f>F45/D45*100</f>
        <v>2135.1886378591798</v>
      </c>
      <c r="L45" s="3">
        <f>G45/D45*100</f>
        <v>5964.6221759157706</v>
      </c>
      <c r="M45" s="3">
        <f>H45/D45*100</f>
        <v>1249.8053301162536</v>
      </c>
      <c r="N45">
        <v>282769</v>
      </c>
      <c r="O45" s="3">
        <v>72.587000000000003</v>
      </c>
      <c r="P45" s="2">
        <v>95.241</v>
      </c>
      <c r="Q45">
        <v>1475.5033333333333</v>
      </c>
      <c r="R45" s="1">
        <v>1.2240410525544598</v>
      </c>
      <c r="S45" s="1">
        <v>237.86</v>
      </c>
      <c r="T45" s="1">
        <v>136695.33333333334</v>
      </c>
    </row>
    <row r="46" spans="1:20" x14ac:dyDescent="0.2">
      <c r="A46" t="s">
        <v>97</v>
      </c>
      <c r="B46" s="3">
        <v>10435.744000000001</v>
      </c>
      <c r="C46" s="3">
        <v>14229.764999999999</v>
      </c>
      <c r="D46" s="3">
        <v>73.337000000000003</v>
      </c>
      <c r="E46" s="3">
        <v>6918.6059999999998</v>
      </c>
      <c r="F46" s="3">
        <v>1577.579</v>
      </c>
      <c r="G46" s="3">
        <v>4425.2039999999997</v>
      </c>
      <c r="H46" s="3">
        <v>915.82299999999998</v>
      </c>
      <c r="I46" s="3">
        <v>9292.0499999999993</v>
      </c>
      <c r="J46" s="3">
        <f>E46/D46*100</f>
        <v>9433.9910277213403</v>
      </c>
      <c r="K46" s="3">
        <f>F46/D46*100</f>
        <v>2151.1365340823863</v>
      </c>
      <c r="L46" s="3">
        <f>G46/D46*100</f>
        <v>6034.0673875397133</v>
      </c>
      <c r="M46" s="3">
        <f>H46/D46*100</f>
        <v>1248.7871060992404</v>
      </c>
      <c r="N46">
        <v>283518</v>
      </c>
      <c r="O46" s="3">
        <v>73.352999999999994</v>
      </c>
      <c r="P46" s="2">
        <v>94.876000000000005</v>
      </c>
      <c r="Q46">
        <v>1366.3700000000001</v>
      </c>
      <c r="R46" s="1">
        <v>4.9358746055229474</v>
      </c>
      <c r="S46" s="1">
        <v>241.5</v>
      </c>
      <c r="T46" s="1">
        <v>137341.33333333334</v>
      </c>
    </row>
    <row r="47" spans="1:20" x14ac:dyDescent="0.2">
      <c r="A47" t="s">
        <v>96</v>
      </c>
      <c r="B47" s="3">
        <v>10470.231</v>
      </c>
      <c r="C47" s="3">
        <v>14183.12</v>
      </c>
      <c r="D47" s="3">
        <v>73.822000000000003</v>
      </c>
      <c r="E47" s="3">
        <v>6995.2979999999998</v>
      </c>
      <c r="F47" s="3">
        <v>1572.434</v>
      </c>
      <c r="G47" s="3">
        <v>4496.0519999999997</v>
      </c>
      <c r="H47" s="3">
        <v>926.81100000000004</v>
      </c>
      <c r="I47" s="3">
        <v>9325.7510000000002</v>
      </c>
      <c r="J47" s="3">
        <f>E47/D47*100</f>
        <v>9475.8987835604566</v>
      </c>
      <c r="K47" s="3">
        <f>F47/D47*100</f>
        <v>2130.034407087318</v>
      </c>
      <c r="L47" s="3">
        <f>G47/D47*100</f>
        <v>6090.3958169651314</v>
      </c>
      <c r="M47" s="3">
        <f>H47/D47*100</f>
        <v>1255.4672048982688</v>
      </c>
      <c r="N47">
        <v>284169</v>
      </c>
      <c r="O47" s="3">
        <v>72.94</v>
      </c>
      <c r="P47" s="2">
        <v>94.846999999999994</v>
      </c>
      <c r="Q47">
        <v>1275.7433333333333</v>
      </c>
      <c r="R47" s="1">
        <v>-0.30964970631251054</v>
      </c>
      <c r="S47" s="1">
        <v>247.49</v>
      </c>
      <c r="T47" s="1">
        <v>137724.33333333334</v>
      </c>
    </row>
    <row r="48" spans="1:20" x14ac:dyDescent="0.2">
      <c r="A48" t="s">
        <v>95</v>
      </c>
      <c r="B48" s="3">
        <v>10599</v>
      </c>
      <c r="C48" s="3">
        <v>14271.694</v>
      </c>
      <c r="D48" s="3">
        <v>74.266000000000005</v>
      </c>
      <c r="E48" s="3">
        <v>7042.25</v>
      </c>
      <c r="F48" s="3">
        <v>1590.627</v>
      </c>
      <c r="G48" s="3">
        <v>4532.1440000000002</v>
      </c>
      <c r="H48" s="3">
        <v>919.47900000000004</v>
      </c>
      <c r="I48" s="3">
        <v>9344.4860000000008</v>
      </c>
      <c r="J48" s="3">
        <f>E48/D48*100</f>
        <v>9482.4684243126067</v>
      </c>
      <c r="K48" s="3">
        <f>F48/D48*100</f>
        <v>2141.7970538335171</v>
      </c>
      <c r="L48" s="3">
        <f>G48/D48*100</f>
        <v>6102.5826084614764</v>
      </c>
      <c r="M48" s="3">
        <f>H48/D48*100</f>
        <v>1238.0887620176122</v>
      </c>
      <c r="N48">
        <v>284838</v>
      </c>
      <c r="O48" s="3">
        <v>74.192999999999998</v>
      </c>
      <c r="P48" s="2">
        <v>93.924999999999997</v>
      </c>
      <c r="Q48">
        <v>1232.9733333333334</v>
      </c>
      <c r="R48" s="1">
        <v>4.0385407370939035</v>
      </c>
      <c r="S48" s="1">
        <v>251.63</v>
      </c>
      <c r="T48" s="1">
        <v>137088</v>
      </c>
    </row>
    <row r="49" spans="1:20" x14ac:dyDescent="0.2">
      <c r="A49" t="s">
        <v>94</v>
      </c>
      <c r="B49" s="3">
        <v>10598.02</v>
      </c>
      <c r="C49" s="3">
        <v>14214.516</v>
      </c>
      <c r="D49" s="3">
        <v>74.558000000000007</v>
      </c>
      <c r="E49" s="3">
        <v>7070.3370000000004</v>
      </c>
      <c r="F49" s="3">
        <v>1591.3589999999999</v>
      </c>
      <c r="G49" s="3">
        <v>4555.0889999999999</v>
      </c>
      <c r="H49" s="3">
        <v>923.88800000000003</v>
      </c>
      <c r="I49" s="3">
        <v>9377.0030000000006</v>
      </c>
      <c r="J49" s="3">
        <f>E49/D49*100</f>
        <v>9483.0024947021102</v>
      </c>
      <c r="K49" s="3">
        <f>F49/D49*100</f>
        <v>2134.3906757155501</v>
      </c>
      <c r="L49" s="3">
        <f>G49/D49*100</f>
        <v>6109.4570669814093</v>
      </c>
      <c r="M49" s="3">
        <f>H49/D49*100</f>
        <v>1239.1534107674561</v>
      </c>
      <c r="N49">
        <v>285584</v>
      </c>
      <c r="O49" s="3">
        <v>74.611000000000004</v>
      </c>
      <c r="P49" s="2">
        <v>92.801000000000002</v>
      </c>
      <c r="Q49">
        <v>1142.53</v>
      </c>
      <c r="R49" s="1">
        <v>0.7854161263894972</v>
      </c>
      <c r="S49" s="1">
        <v>255.53</v>
      </c>
      <c r="T49" s="1">
        <v>136719.33333333334</v>
      </c>
    </row>
    <row r="50" spans="1:20" x14ac:dyDescent="0.2">
      <c r="A50" t="s">
        <v>93</v>
      </c>
      <c r="B50" s="3">
        <v>10660.465</v>
      </c>
      <c r="C50" s="3">
        <v>14253.574000000001</v>
      </c>
      <c r="D50" s="3">
        <v>74.792000000000002</v>
      </c>
      <c r="E50" s="3">
        <v>7187.32</v>
      </c>
      <c r="F50" s="3">
        <v>1581.8920000000001</v>
      </c>
      <c r="G50" s="3">
        <v>4609.5460000000003</v>
      </c>
      <c r="H50" s="3">
        <v>995.88199999999995</v>
      </c>
      <c r="I50" s="3">
        <v>9528.3019999999997</v>
      </c>
      <c r="J50" s="3">
        <f>E50/D50*100</f>
        <v>9609.7443576853129</v>
      </c>
      <c r="K50" s="3">
        <f>F50/D50*100</f>
        <v>2115.0550861054658</v>
      </c>
      <c r="L50" s="3">
        <f>G50/D50*100</f>
        <v>6163.1538132420583</v>
      </c>
      <c r="M50" s="3">
        <f>H50/D50*100</f>
        <v>1331.53545833779</v>
      </c>
      <c r="N50">
        <v>286311</v>
      </c>
      <c r="O50" s="3">
        <v>75.555000000000007</v>
      </c>
      <c r="P50" s="2">
        <v>91.733999999999995</v>
      </c>
      <c r="Q50">
        <v>1117.0666666666666</v>
      </c>
      <c r="R50" s="1">
        <v>3.71929146351839</v>
      </c>
      <c r="S50" s="1">
        <v>258.69</v>
      </c>
      <c r="T50" s="1">
        <v>136225.66666666666</v>
      </c>
    </row>
    <row r="51" spans="1:20" x14ac:dyDescent="0.2">
      <c r="A51" t="s">
        <v>92</v>
      </c>
      <c r="B51" s="3">
        <v>10783.5</v>
      </c>
      <c r="C51" s="3">
        <v>14372.785</v>
      </c>
      <c r="D51" s="3">
        <v>75.027000000000001</v>
      </c>
      <c r="E51" s="3">
        <v>7217.7150000000001</v>
      </c>
      <c r="F51" s="3">
        <v>1585.634</v>
      </c>
      <c r="G51" s="3">
        <v>4655.8310000000001</v>
      </c>
      <c r="H51" s="3">
        <v>976.24900000000002</v>
      </c>
      <c r="I51" s="3">
        <v>9549.5159999999996</v>
      </c>
      <c r="J51" s="3">
        <f>E51/D51*100</f>
        <v>9620.1567435723136</v>
      </c>
      <c r="K51" s="3">
        <f>F51/D51*100</f>
        <v>2113.4178362456182</v>
      </c>
      <c r="L51" s="3">
        <f>G51/D51*100</f>
        <v>6205.5406720247374</v>
      </c>
      <c r="M51" s="3">
        <f>H51/D51*100</f>
        <v>1301.196902448452</v>
      </c>
      <c r="N51">
        <v>286935</v>
      </c>
      <c r="O51" s="3">
        <v>77.138000000000005</v>
      </c>
      <c r="P51" s="2">
        <v>90.984999999999999</v>
      </c>
      <c r="Q51">
        <v>1131.5566666666666</v>
      </c>
      <c r="R51" s="1">
        <v>4.430341789571993</v>
      </c>
      <c r="S51" s="1">
        <v>262.39</v>
      </c>
      <c r="T51" s="1">
        <v>136105.33333333334</v>
      </c>
    </row>
    <row r="52" spans="1:20" x14ac:dyDescent="0.2">
      <c r="A52" t="s">
        <v>91</v>
      </c>
      <c r="B52" s="3">
        <v>10887.46</v>
      </c>
      <c r="C52" s="3">
        <v>14460.848</v>
      </c>
      <c r="D52" s="3">
        <v>75.289000000000001</v>
      </c>
      <c r="E52" s="3">
        <v>7307.9549999999999</v>
      </c>
      <c r="F52" s="3">
        <v>1609.5350000000001</v>
      </c>
      <c r="G52" s="3">
        <v>4721.0219999999999</v>
      </c>
      <c r="H52" s="3">
        <v>977.39700000000005</v>
      </c>
      <c r="I52" s="3">
        <v>9597.82</v>
      </c>
      <c r="J52" s="3">
        <f>E52/D52*100</f>
        <v>9706.5374755940447</v>
      </c>
      <c r="K52" s="3">
        <f>F52/D52*100</f>
        <v>2137.808976078843</v>
      </c>
      <c r="L52" s="3">
        <f>G52/D52*100</f>
        <v>6270.533544076824</v>
      </c>
      <c r="M52" s="3">
        <f>H52/D52*100</f>
        <v>1298.1936272231003</v>
      </c>
      <c r="N52">
        <v>287574</v>
      </c>
      <c r="O52" s="3">
        <v>77.259</v>
      </c>
      <c r="P52" s="2">
        <v>91.177999999999997</v>
      </c>
      <c r="Q52">
        <v>1068.4000000000001</v>
      </c>
      <c r="R52" s="1">
        <v>-0.23407198157403397</v>
      </c>
      <c r="S52" s="1">
        <v>266.88</v>
      </c>
      <c r="T52" s="1">
        <v>136360</v>
      </c>
    </row>
    <row r="53" spans="1:20" x14ac:dyDescent="0.2">
      <c r="A53" t="s">
        <v>90</v>
      </c>
      <c r="B53" s="3">
        <v>10984.04</v>
      </c>
      <c r="C53" s="3">
        <v>14519.633</v>
      </c>
      <c r="D53" s="3">
        <v>75.650000000000006</v>
      </c>
      <c r="E53" s="3">
        <v>7397.1350000000002</v>
      </c>
      <c r="F53" s="3">
        <v>1616.722</v>
      </c>
      <c r="G53" s="3">
        <v>4778.6930000000002</v>
      </c>
      <c r="H53" s="3">
        <v>1001.72</v>
      </c>
      <c r="I53" s="3">
        <v>9664.9879999999994</v>
      </c>
      <c r="J53" s="3">
        <f>E53/D53*100</f>
        <v>9778.103106411103</v>
      </c>
      <c r="K53" s="3">
        <f>F53/D53*100</f>
        <v>2137.1077329808327</v>
      </c>
      <c r="L53" s="3">
        <f>G53/D53*100</f>
        <v>6316.8446794448118</v>
      </c>
      <c r="M53" s="3">
        <f>H53/D53*100</f>
        <v>1324.1506939854594</v>
      </c>
      <c r="N53">
        <v>288303</v>
      </c>
      <c r="O53" s="3">
        <v>77.852000000000004</v>
      </c>
      <c r="P53" s="2">
        <v>90.85</v>
      </c>
      <c r="Q53">
        <v>894.65</v>
      </c>
      <c r="R53" s="1">
        <v>2.2814194721900893</v>
      </c>
      <c r="S53" s="1">
        <v>272.17</v>
      </c>
      <c r="T53" s="1">
        <v>136806.66666666666</v>
      </c>
    </row>
    <row r="54" spans="1:20" x14ac:dyDescent="0.2">
      <c r="A54" t="s">
        <v>89</v>
      </c>
      <c r="B54" s="3">
        <v>11061.433000000001</v>
      </c>
      <c r="C54" s="3">
        <v>14537.58</v>
      </c>
      <c r="D54" s="3">
        <v>76.088999999999999</v>
      </c>
      <c r="E54" s="3">
        <v>7472.9579999999996</v>
      </c>
      <c r="F54" s="3">
        <v>1641.855</v>
      </c>
      <c r="G54" s="3">
        <v>4844.9979999999996</v>
      </c>
      <c r="H54" s="3">
        <v>986.10500000000002</v>
      </c>
      <c r="I54" s="3">
        <v>9718.7450000000008</v>
      </c>
      <c r="J54" s="3">
        <f>E54/D54*100</f>
        <v>9821.3381697748682</v>
      </c>
      <c r="K54" s="3">
        <f>F54/D54*100</f>
        <v>2157.8086188542366</v>
      </c>
      <c r="L54" s="3">
        <f>G54/D54*100</f>
        <v>6367.5406431941537</v>
      </c>
      <c r="M54" s="3">
        <f>H54/D54*100</f>
        <v>1295.9889077264781</v>
      </c>
      <c r="N54">
        <v>289007</v>
      </c>
      <c r="O54" s="3">
        <v>77.748999999999995</v>
      </c>
      <c r="P54" s="2">
        <v>90.989000000000004</v>
      </c>
      <c r="Q54">
        <v>887.9133333333333</v>
      </c>
      <c r="R54" s="1">
        <v>-6.3421786453821127E-3</v>
      </c>
      <c r="S54" s="1">
        <v>276.02999999999997</v>
      </c>
      <c r="T54" s="1">
        <v>136651.66666666666</v>
      </c>
    </row>
    <row r="55" spans="1:20" x14ac:dyDescent="0.2">
      <c r="A55" t="s">
        <v>88</v>
      </c>
      <c r="B55" s="3">
        <v>11174.129000000001</v>
      </c>
      <c r="C55" s="3">
        <v>14614.141</v>
      </c>
      <c r="D55" s="3">
        <v>76.460999999999999</v>
      </c>
      <c r="E55" s="3">
        <v>7567.16</v>
      </c>
      <c r="F55" s="3">
        <v>1682.8009999999999</v>
      </c>
      <c r="G55" s="3">
        <v>4909.826</v>
      </c>
      <c r="H55" s="3">
        <v>974.53300000000002</v>
      </c>
      <c r="I55" s="3">
        <v>9766.616</v>
      </c>
      <c r="J55" s="3">
        <f>E55/D55*100</f>
        <v>9896.7578242502714</v>
      </c>
      <c r="K55" s="3">
        <f>F55/D55*100</f>
        <v>2200.8618772969226</v>
      </c>
      <c r="L55" s="3">
        <f>G55/D55*100</f>
        <v>6421.3468304102744</v>
      </c>
      <c r="M55" s="3">
        <f>H55/D55*100</f>
        <v>1274.5491165430742</v>
      </c>
      <c r="N55">
        <v>289609</v>
      </c>
      <c r="O55" s="3">
        <v>78.510999999999996</v>
      </c>
      <c r="P55" s="2">
        <v>90.527000000000001</v>
      </c>
      <c r="Q55">
        <v>859.83333333333337</v>
      </c>
      <c r="R55" s="1">
        <v>-0.17608635013019769</v>
      </c>
      <c r="S55" s="1">
        <v>279.39</v>
      </c>
      <c r="T55" s="1">
        <v>137444.33333333334</v>
      </c>
    </row>
    <row r="56" spans="1:20" x14ac:dyDescent="0.2">
      <c r="A56" t="s">
        <v>87</v>
      </c>
      <c r="B56" s="3">
        <v>11312.766</v>
      </c>
      <c r="C56" s="3">
        <v>14743.566999999999</v>
      </c>
      <c r="D56" s="3">
        <v>76.73</v>
      </c>
      <c r="E56" s="3">
        <v>7661.4579999999996</v>
      </c>
      <c r="F56" s="3">
        <v>1670.079</v>
      </c>
      <c r="G56" s="3">
        <v>4983.5600000000004</v>
      </c>
      <c r="H56" s="3">
        <v>1007.819</v>
      </c>
      <c r="I56" s="3">
        <v>9878.4419999999991</v>
      </c>
      <c r="J56" s="3">
        <f>E56/D56*100</f>
        <v>9984.9576436856496</v>
      </c>
      <c r="K56" s="3">
        <f>F56/D56*100</f>
        <v>2176.5658803597025</v>
      </c>
      <c r="L56" s="3">
        <f>G56/D56*100</f>
        <v>6494.9302749902263</v>
      </c>
      <c r="M56" s="3">
        <f>H56/D56*100</f>
        <v>1313.4614883357224</v>
      </c>
      <c r="N56">
        <v>290253</v>
      </c>
      <c r="O56" s="3">
        <v>79.545000000000002</v>
      </c>
      <c r="P56" s="2">
        <v>90.24</v>
      </c>
      <c r="Q56">
        <v>937.99666666666656</v>
      </c>
      <c r="R56" s="1">
        <v>4.4926103231097674</v>
      </c>
      <c r="S56" s="1">
        <v>282.81</v>
      </c>
      <c r="T56" s="1">
        <v>137655.66666666666</v>
      </c>
    </row>
    <row r="57" spans="1:20" x14ac:dyDescent="0.2">
      <c r="A57" t="s">
        <v>86</v>
      </c>
      <c r="B57" s="3">
        <v>11566.669</v>
      </c>
      <c r="C57" s="3">
        <v>14988.781999999999</v>
      </c>
      <c r="D57" s="3">
        <v>77.168999999999997</v>
      </c>
      <c r="E57" s="3">
        <v>7820.9269999999997</v>
      </c>
      <c r="F57" s="3">
        <v>1724.47</v>
      </c>
      <c r="G57" s="3">
        <v>5054.68</v>
      </c>
      <c r="H57" s="3">
        <v>1041.7760000000001</v>
      </c>
      <c r="I57" s="3">
        <v>10018.121999999999</v>
      </c>
      <c r="J57" s="3">
        <f>E57/D57*100</f>
        <v>10134.804131192577</v>
      </c>
      <c r="K57" s="3">
        <f>F57/D57*100</f>
        <v>2234.6667703352387</v>
      </c>
      <c r="L57" s="3">
        <f>G57/D57*100</f>
        <v>6550.1431922144902</v>
      </c>
      <c r="M57" s="3">
        <f>H57/D57*100</f>
        <v>1349.9928727857043</v>
      </c>
      <c r="N57">
        <v>290974</v>
      </c>
      <c r="O57" s="3">
        <v>81.295000000000002</v>
      </c>
      <c r="P57" s="2">
        <v>90.376000000000005</v>
      </c>
      <c r="Q57">
        <v>1000.5033333333334</v>
      </c>
      <c r="R57" s="1">
        <v>4.721792608169701</v>
      </c>
      <c r="S57" s="1">
        <v>287.17</v>
      </c>
      <c r="T57" s="1">
        <v>137544</v>
      </c>
    </row>
    <row r="58" spans="1:20" x14ac:dyDescent="0.2">
      <c r="A58" t="s">
        <v>85</v>
      </c>
      <c r="B58" s="3">
        <v>11772.234</v>
      </c>
      <c r="C58" s="3">
        <v>15162.76</v>
      </c>
      <c r="D58" s="3">
        <v>77.638999999999996</v>
      </c>
      <c r="E58" s="3">
        <v>7913.4530000000004</v>
      </c>
      <c r="F58" s="3">
        <v>1741.837</v>
      </c>
      <c r="G58" s="3">
        <v>5124.5410000000002</v>
      </c>
      <c r="H58" s="3">
        <v>1047.0740000000001</v>
      </c>
      <c r="I58" s="3">
        <v>10087.092000000001</v>
      </c>
      <c r="J58" s="3">
        <f>E58/D58*100</f>
        <v>10192.626128620926</v>
      </c>
      <c r="K58" s="3">
        <f>F58/D58*100</f>
        <v>2243.5077731552442</v>
      </c>
      <c r="L58" s="3">
        <f>G58/D58*100</f>
        <v>6600.4727005757413</v>
      </c>
      <c r="M58" s="3">
        <f>H58/D58*100</f>
        <v>1348.6443668774716</v>
      </c>
      <c r="N58">
        <v>291669</v>
      </c>
      <c r="O58" s="3">
        <v>82.067999999999998</v>
      </c>
      <c r="P58" s="2">
        <v>90.798000000000002</v>
      </c>
      <c r="Q58">
        <v>1056.4233333333334</v>
      </c>
      <c r="R58" s="1">
        <v>-2.1961461927535462</v>
      </c>
      <c r="S58" s="1">
        <v>295.27999999999997</v>
      </c>
      <c r="T58" s="1">
        <v>138273</v>
      </c>
    </row>
    <row r="59" spans="1:20" x14ac:dyDescent="0.2">
      <c r="A59" t="s">
        <v>84</v>
      </c>
      <c r="B59" s="3">
        <v>11923.447</v>
      </c>
      <c r="C59" s="3">
        <v>15248.68</v>
      </c>
      <c r="D59" s="3">
        <v>78.192999999999998</v>
      </c>
      <c r="E59" s="3">
        <v>8048.777</v>
      </c>
      <c r="F59" s="3">
        <v>1779.0050000000001</v>
      </c>
      <c r="G59" s="3">
        <v>5205.5429999999997</v>
      </c>
      <c r="H59" s="3">
        <v>1064.229</v>
      </c>
      <c r="I59" s="3">
        <v>10181.141</v>
      </c>
      <c r="J59" s="3">
        <f>E59/D59*100</f>
        <v>10293.4751192562</v>
      </c>
      <c r="K59" s="3">
        <f>F59/D59*100</f>
        <v>2275.1461128233987</v>
      </c>
      <c r="L59" s="3">
        <f>G59/D59*100</f>
        <v>6657.3005256224969</v>
      </c>
      <c r="M59" s="3">
        <f>H59/D59*100</f>
        <v>1361.0284808103029</v>
      </c>
      <c r="N59">
        <v>292237</v>
      </c>
      <c r="O59" s="3">
        <v>81.825000000000003</v>
      </c>
      <c r="P59" s="2">
        <v>91.2</v>
      </c>
      <c r="Q59">
        <v>1133.2866666666666</v>
      </c>
      <c r="R59" s="1">
        <v>-0.23374763798962062</v>
      </c>
      <c r="S59" s="1">
        <v>299.93</v>
      </c>
      <c r="T59" s="1">
        <v>138489</v>
      </c>
    </row>
    <row r="60" spans="1:20" x14ac:dyDescent="0.2">
      <c r="A60" t="s">
        <v>83</v>
      </c>
      <c r="B60" s="3">
        <v>12112.815000000001</v>
      </c>
      <c r="C60" s="3">
        <v>15366.85</v>
      </c>
      <c r="D60" s="3">
        <v>78.823999999999998</v>
      </c>
      <c r="E60" s="3">
        <v>8147.1080000000002</v>
      </c>
      <c r="F60" s="3">
        <v>1803.0060000000001</v>
      </c>
      <c r="G60" s="3">
        <v>5278.1289999999999</v>
      </c>
      <c r="H60" s="3">
        <v>1065.972</v>
      </c>
      <c r="I60" s="3">
        <v>10236.694</v>
      </c>
      <c r="J60" s="3">
        <f>E60/D60*100</f>
        <v>10335.821577184615</v>
      </c>
      <c r="K60" s="3">
        <f>F60/D60*100</f>
        <v>2287.3820156297575</v>
      </c>
      <c r="L60" s="3">
        <f>G60/D60*100</f>
        <v>6696.0938292905712</v>
      </c>
      <c r="M60" s="3">
        <f>H60/D60*100</f>
        <v>1352.3444636151426</v>
      </c>
      <c r="N60">
        <v>292875</v>
      </c>
      <c r="O60" s="3">
        <v>82.677999999999997</v>
      </c>
      <c r="P60" s="2">
        <v>91.296999999999997</v>
      </c>
      <c r="Q60">
        <v>1122.9666666666665</v>
      </c>
      <c r="R60" s="1">
        <v>3.7752277932549809</v>
      </c>
      <c r="S60" s="1">
        <v>307.26</v>
      </c>
      <c r="T60" s="1">
        <v>138902</v>
      </c>
    </row>
    <row r="61" spans="1:20" x14ac:dyDescent="0.2">
      <c r="A61" t="s">
        <v>82</v>
      </c>
      <c r="B61" s="3">
        <v>12305.307000000001</v>
      </c>
      <c r="C61" s="3">
        <v>15512.619000000001</v>
      </c>
      <c r="D61" s="3">
        <v>79.323999999999998</v>
      </c>
      <c r="E61" s="3">
        <v>8283.3349999999991</v>
      </c>
      <c r="F61" s="3">
        <v>1826.2940000000001</v>
      </c>
      <c r="G61" s="3">
        <v>5371.9960000000001</v>
      </c>
      <c r="H61" s="3">
        <v>1085.046</v>
      </c>
      <c r="I61" s="3">
        <v>10356.936</v>
      </c>
      <c r="J61" s="3">
        <f>E61/D61*100</f>
        <v>10442.407089909735</v>
      </c>
      <c r="K61" s="3">
        <f>F61/D61*100</f>
        <v>2302.3221219303114</v>
      </c>
      <c r="L61" s="3">
        <f>G61/D61*100</f>
        <v>6772.2202612072015</v>
      </c>
      <c r="M61" s="3">
        <f>H61/D61*100</f>
        <v>1367.8659674247392</v>
      </c>
      <c r="N61">
        <v>293603</v>
      </c>
      <c r="O61" s="3">
        <v>83.061000000000007</v>
      </c>
      <c r="P61" s="2">
        <v>91.816999999999993</v>
      </c>
      <c r="Q61">
        <v>1104.1499999999999</v>
      </c>
      <c r="R61" s="1">
        <v>3.3753825438205545</v>
      </c>
      <c r="S61" s="1">
        <v>318.95999999999998</v>
      </c>
      <c r="T61" s="1">
        <v>139538.66666666666</v>
      </c>
    </row>
    <row r="62" spans="1:20" x14ac:dyDescent="0.2">
      <c r="A62" t="s">
        <v>81</v>
      </c>
      <c r="B62" s="3">
        <v>12527.214</v>
      </c>
      <c r="C62" s="3">
        <v>15670.88</v>
      </c>
      <c r="D62" s="3">
        <v>79.938999999999993</v>
      </c>
      <c r="E62" s="3">
        <v>8448.6209999999992</v>
      </c>
      <c r="F62" s="3">
        <v>1877.4829999999999</v>
      </c>
      <c r="G62" s="3">
        <v>5464.0879999999997</v>
      </c>
      <c r="H62" s="3">
        <v>1107.05</v>
      </c>
      <c r="I62" s="3">
        <v>10474.084000000001</v>
      </c>
      <c r="J62" s="3">
        <f>E62/D62*100</f>
        <v>10568.834986677341</v>
      </c>
      <c r="K62" s="3">
        <f>F62/D62*100</f>
        <v>2348.6445915010199</v>
      </c>
      <c r="L62" s="3">
        <f>G62/D62*100</f>
        <v>6835.3219329738931</v>
      </c>
      <c r="M62" s="3">
        <f>H62/D62*100</f>
        <v>1384.8684622024293</v>
      </c>
      <c r="N62">
        <v>294334</v>
      </c>
      <c r="O62" s="3">
        <v>83.433000000000007</v>
      </c>
      <c r="P62" s="2">
        <v>92.326999999999998</v>
      </c>
      <c r="Q62">
        <v>1161.7866666666666</v>
      </c>
      <c r="R62" s="1">
        <v>1.9368760584520774</v>
      </c>
      <c r="S62" s="1">
        <v>325.81</v>
      </c>
      <c r="T62" s="1">
        <v>140029.33333333334</v>
      </c>
    </row>
    <row r="63" spans="1:20" x14ac:dyDescent="0.2">
      <c r="A63" t="s">
        <v>80</v>
      </c>
      <c r="B63" s="3">
        <v>12767.286</v>
      </c>
      <c r="C63" s="3">
        <v>15844.727000000001</v>
      </c>
      <c r="D63" s="3">
        <v>80.578000000000003</v>
      </c>
      <c r="E63" s="3">
        <v>8551.7350000000006</v>
      </c>
      <c r="F63" s="3">
        <v>1891.9829999999999</v>
      </c>
      <c r="G63" s="3">
        <v>5549.7879999999996</v>
      </c>
      <c r="H63" s="3">
        <v>1109.9639999999999</v>
      </c>
      <c r="I63" s="3">
        <v>10540.638000000001</v>
      </c>
      <c r="J63" s="3">
        <f>E63/D63*100</f>
        <v>10612.989897987043</v>
      </c>
      <c r="K63" s="3">
        <f>F63/D63*100</f>
        <v>2348.0143463476379</v>
      </c>
      <c r="L63" s="3">
        <f>G63/D63*100</f>
        <v>6887.4730075206626</v>
      </c>
      <c r="M63" s="3">
        <f>H63/D63*100</f>
        <v>1377.502544118742</v>
      </c>
      <c r="N63">
        <v>294957</v>
      </c>
      <c r="O63" s="3">
        <v>84.323999999999998</v>
      </c>
      <c r="P63" s="2">
        <v>92.587000000000003</v>
      </c>
      <c r="Q63">
        <v>1191.98</v>
      </c>
      <c r="R63" s="1">
        <v>1.3285812518976978</v>
      </c>
      <c r="S63" s="1">
        <v>333.29</v>
      </c>
      <c r="T63" s="1">
        <v>140428</v>
      </c>
    </row>
    <row r="64" spans="1:20" x14ac:dyDescent="0.2">
      <c r="A64" t="s">
        <v>79</v>
      </c>
      <c r="B64" s="3">
        <v>12922.656000000001</v>
      </c>
      <c r="C64" s="3">
        <v>15922.781999999999</v>
      </c>
      <c r="D64" s="3">
        <v>81.158000000000001</v>
      </c>
      <c r="E64" s="3">
        <v>8701.1450000000004</v>
      </c>
      <c r="F64" s="3">
        <v>1919.4960000000001</v>
      </c>
      <c r="G64" s="3">
        <v>5643.732</v>
      </c>
      <c r="H64" s="3">
        <v>1137.9179999999999</v>
      </c>
      <c r="I64" s="3">
        <v>10657.449000000001</v>
      </c>
      <c r="J64" s="3">
        <f>E64/D64*100</f>
        <v>10721.241282436729</v>
      </c>
      <c r="K64" s="3">
        <f>F64/D64*100</f>
        <v>2365.1346755711083</v>
      </c>
      <c r="L64" s="3">
        <f>G64/D64*100</f>
        <v>6954.0057665294853</v>
      </c>
      <c r="M64" s="3">
        <f>H64/D64*100</f>
        <v>1402.1020725005544</v>
      </c>
      <c r="N64">
        <v>295588</v>
      </c>
      <c r="O64" s="3">
        <v>84.248999999999995</v>
      </c>
      <c r="P64" s="2">
        <v>93.061000000000007</v>
      </c>
      <c r="Q64">
        <v>1181.6533333333334</v>
      </c>
      <c r="R64" s="1">
        <v>0.83054956226297549</v>
      </c>
      <c r="S64" s="1">
        <v>343.98</v>
      </c>
      <c r="T64" s="1">
        <v>141525.66666666666</v>
      </c>
    </row>
    <row r="65" spans="1:20" x14ac:dyDescent="0.2">
      <c r="A65" t="s">
        <v>78</v>
      </c>
      <c r="B65" s="3">
        <v>13142.642</v>
      </c>
      <c r="C65" s="3">
        <v>16047.587</v>
      </c>
      <c r="D65" s="3">
        <v>81.897999999999996</v>
      </c>
      <c r="E65" s="3">
        <v>8868.0889999999999</v>
      </c>
      <c r="F65" s="3">
        <v>1986.0309999999999</v>
      </c>
      <c r="G65" s="3">
        <v>5730.2449999999999</v>
      </c>
      <c r="H65" s="3">
        <v>1151.8140000000001</v>
      </c>
      <c r="I65" s="3">
        <v>10745.873</v>
      </c>
      <c r="J65" s="3">
        <f>E65/D65*100</f>
        <v>10828.21192214706</v>
      </c>
      <c r="K65" s="3">
        <f>F65/D65*100</f>
        <v>2425.0054946396735</v>
      </c>
      <c r="L65" s="3">
        <f>G65/D65*100</f>
        <v>6996.8070038340375</v>
      </c>
      <c r="M65" s="3">
        <f>H65/D65*100</f>
        <v>1406.4006447043885</v>
      </c>
      <c r="N65">
        <v>296340</v>
      </c>
      <c r="O65" s="3">
        <v>84.825000000000003</v>
      </c>
      <c r="P65" s="2">
        <v>93.296999999999997</v>
      </c>
      <c r="Q65">
        <v>1224.1433333333334</v>
      </c>
      <c r="R65" s="1">
        <v>5.5546209734003815E-2</v>
      </c>
      <c r="S65" s="1">
        <v>354.39</v>
      </c>
      <c r="T65" s="1">
        <v>142287</v>
      </c>
    </row>
    <row r="66" spans="1:20" x14ac:dyDescent="0.2">
      <c r="A66" t="s">
        <v>77</v>
      </c>
      <c r="B66" s="3">
        <v>13324.204</v>
      </c>
      <c r="C66" s="3">
        <v>16136.734</v>
      </c>
      <c r="D66" s="3">
        <v>82.570999999999998</v>
      </c>
      <c r="E66" s="3">
        <v>8955.2950000000001</v>
      </c>
      <c r="F66" s="3">
        <v>2019.741</v>
      </c>
      <c r="G66" s="3">
        <v>5820.8090000000002</v>
      </c>
      <c r="H66" s="3">
        <v>1114.7449999999999</v>
      </c>
      <c r="I66" s="3">
        <v>10765.68</v>
      </c>
      <c r="J66" s="3">
        <f>E66/D66*100</f>
        <v>10845.569267660559</v>
      </c>
      <c r="K66" s="3">
        <f>F66/D66*100</f>
        <v>2446.0658100301557</v>
      </c>
      <c r="L66" s="3">
        <f>G66/D66*100</f>
        <v>7049.4592532487204</v>
      </c>
      <c r="M66" s="3">
        <f>H66/D66*100</f>
        <v>1350.0442043816836</v>
      </c>
      <c r="N66">
        <v>297086</v>
      </c>
      <c r="O66" s="3">
        <v>84.834000000000003</v>
      </c>
      <c r="P66" s="2">
        <v>93.896000000000001</v>
      </c>
      <c r="Q66">
        <v>1230.4666666666665</v>
      </c>
      <c r="R66" s="1">
        <v>-1.6151554655094729</v>
      </c>
      <c r="S66" s="1">
        <v>362.43</v>
      </c>
      <c r="T66" s="1">
        <v>142599.66666666666</v>
      </c>
    </row>
    <row r="67" spans="1:20" x14ac:dyDescent="0.2">
      <c r="A67" t="s">
        <v>76</v>
      </c>
      <c r="B67" s="3">
        <v>13599.16</v>
      </c>
      <c r="C67" s="3">
        <v>16353.834999999999</v>
      </c>
      <c r="D67" s="3">
        <v>83.156000000000006</v>
      </c>
      <c r="E67" s="3">
        <v>9100.1530000000002</v>
      </c>
      <c r="F67" s="3">
        <v>2042.7139999999999</v>
      </c>
      <c r="G67" s="3">
        <v>5903.3109999999997</v>
      </c>
      <c r="H67" s="3">
        <v>1154.1279999999999</v>
      </c>
      <c r="I67" s="3">
        <v>10883.075000000001</v>
      </c>
      <c r="J67" s="3">
        <f>E67/D67*100</f>
        <v>10943.47130694117</v>
      </c>
      <c r="K67" s="3">
        <f>F67/D67*100</f>
        <v>2456.4841983741399</v>
      </c>
      <c r="L67" s="3">
        <f>G67/D67*100</f>
        <v>7099.080042330077</v>
      </c>
      <c r="M67" s="3">
        <f>H67/D67*100</f>
        <v>1387.907066236952</v>
      </c>
      <c r="N67">
        <v>297736</v>
      </c>
      <c r="O67" s="3">
        <v>85.415999999999997</v>
      </c>
      <c r="P67" s="2">
        <v>94.914000000000001</v>
      </c>
      <c r="Q67">
        <v>1283.04</v>
      </c>
      <c r="R67" s="1">
        <v>2.3570928754453098</v>
      </c>
      <c r="S67" s="1">
        <v>368.16</v>
      </c>
      <c r="T67" s="1">
        <v>143449.33333333334</v>
      </c>
    </row>
    <row r="68" spans="1:20" x14ac:dyDescent="0.2">
      <c r="A68" t="s">
        <v>75</v>
      </c>
      <c r="B68" s="3">
        <v>13753.424000000001</v>
      </c>
      <c r="C68" s="3">
        <v>16396.151000000002</v>
      </c>
      <c r="D68" s="3">
        <v>83.882000000000005</v>
      </c>
      <c r="E68" s="3">
        <v>9227.6489999999994</v>
      </c>
      <c r="F68" s="3">
        <v>2076.8440000000001</v>
      </c>
      <c r="G68" s="3">
        <v>6001.5559999999996</v>
      </c>
      <c r="H68" s="3">
        <v>1149.249</v>
      </c>
      <c r="I68" s="3">
        <v>10939.498</v>
      </c>
      <c r="J68" s="3">
        <f>E68/D68*100</f>
        <v>11000.749862902647</v>
      </c>
      <c r="K68" s="3">
        <f>F68/D68*100</f>
        <v>2475.9113993467013</v>
      </c>
      <c r="L68" s="3">
        <f>G68/D68*100</f>
        <v>7154.7602584583092</v>
      </c>
      <c r="M68" s="3">
        <f>H68/D68*100</f>
        <v>1370.0782050976372</v>
      </c>
      <c r="N68">
        <v>298408</v>
      </c>
      <c r="O68" s="3">
        <v>85.322000000000003</v>
      </c>
      <c r="P68" s="2">
        <v>95.13</v>
      </c>
      <c r="Q68">
        <v>1281.7833333333335</v>
      </c>
      <c r="R68" s="1">
        <v>-3.6156076451958499</v>
      </c>
      <c r="S68" s="1">
        <v>371.96</v>
      </c>
      <c r="T68" s="1">
        <v>144067.66666666666</v>
      </c>
    </row>
    <row r="69" spans="1:20" x14ac:dyDescent="0.2">
      <c r="A69" t="s">
        <v>74</v>
      </c>
      <c r="B69" s="3">
        <v>13870.188</v>
      </c>
      <c r="C69" s="3">
        <v>16420.738000000001</v>
      </c>
      <c r="D69" s="3">
        <v>84.468000000000004</v>
      </c>
      <c r="E69" s="3">
        <v>9353.7720000000008</v>
      </c>
      <c r="F69" s="3">
        <v>2112.9050000000002</v>
      </c>
      <c r="G69" s="3">
        <v>6080.335</v>
      </c>
      <c r="H69" s="3">
        <v>1160.5319999999999</v>
      </c>
      <c r="I69" s="3">
        <v>11009.748</v>
      </c>
      <c r="J69" s="3">
        <f>E69/D69*100</f>
        <v>11073.746270777101</v>
      </c>
      <c r="K69" s="3">
        <f>F69/D69*100</f>
        <v>2501.426575744661</v>
      </c>
      <c r="L69" s="3">
        <f>G69/D69*100</f>
        <v>7198.3887389307183</v>
      </c>
      <c r="M69" s="3">
        <f>H69/D69*100</f>
        <v>1373.9309561017189</v>
      </c>
      <c r="N69">
        <v>299180</v>
      </c>
      <c r="O69" s="3">
        <v>85.156999999999996</v>
      </c>
      <c r="P69" s="2">
        <v>95.491</v>
      </c>
      <c r="Q69">
        <v>1288.3766666666668</v>
      </c>
      <c r="R69" s="1">
        <v>-2.8573137213217388</v>
      </c>
      <c r="S69" s="1">
        <v>375.01</v>
      </c>
      <c r="T69" s="1">
        <v>144547.33333333334</v>
      </c>
    </row>
    <row r="70" spans="1:20" x14ac:dyDescent="0.2">
      <c r="A70" t="s">
        <v>73</v>
      </c>
      <c r="B70" s="3">
        <v>14039.56</v>
      </c>
      <c r="C70" s="3">
        <v>16561.866000000002</v>
      </c>
      <c r="D70" s="3">
        <v>84.77</v>
      </c>
      <c r="E70" s="3">
        <v>9427.3680000000004</v>
      </c>
      <c r="F70" s="3">
        <v>2092.8270000000002</v>
      </c>
      <c r="G70" s="3">
        <v>6165.1189999999997</v>
      </c>
      <c r="H70" s="3">
        <v>1169.422</v>
      </c>
      <c r="I70" s="3">
        <v>11114.771000000001</v>
      </c>
      <c r="J70" s="3">
        <f>E70/D70*100</f>
        <v>11121.113601509969</v>
      </c>
      <c r="K70" s="3">
        <f>F70/D70*100</f>
        <v>2468.8297746844405</v>
      </c>
      <c r="L70" s="3">
        <f>G70/D70*100</f>
        <v>7272.760410522591</v>
      </c>
      <c r="M70" s="3">
        <f>H70/D70*100</f>
        <v>1379.5234163029374</v>
      </c>
      <c r="N70">
        <v>299946</v>
      </c>
      <c r="O70" s="3">
        <v>85.707999999999998</v>
      </c>
      <c r="P70" s="2">
        <v>95.941999999999993</v>
      </c>
      <c r="Q70">
        <v>1389.4800000000002</v>
      </c>
      <c r="R70" s="1">
        <v>0.98044558797260861</v>
      </c>
      <c r="S70" s="1">
        <v>378.86</v>
      </c>
      <c r="T70" s="1">
        <v>145606</v>
      </c>
    </row>
    <row r="71" spans="1:20" x14ac:dyDescent="0.2">
      <c r="A71" t="s">
        <v>72</v>
      </c>
      <c r="B71" s="3">
        <v>14215.651</v>
      </c>
      <c r="C71" s="3">
        <v>16611.689999999999</v>
      </c>
      <c r="D71" s="3">
        <v>85.575999999999993</v>
      </c>
      <c r="E71" s="3">
        <v>9572.1380000000008</v>
      </c>
      <c r="F71" s="3">
        <v>2129.1030000000001</v>
      </c>
      <c r="G71" s="3">
        <v>6264.0129999999999</v>
      </c>
      <c r="H71" s="3">
        <v>1179.0219999999999</v>
      </c>
      <c r="I71" s="3">
        <v>11183.323</v>
      </c>
      <c r="J71" s="3">
        <f>E71/D71*100</f>
        <v>11185.54033841264</v>
      </c>
      <c r="K71" s="3">
        <f>F71/D71*100</f>
        <v>2487.9674207721796</v>
      </c>
      <c r="L71" s="3">
        <f>G71/D71*100</f>
        <v>7319.8244835000469</v>
      </c>
      <c r="M71" s="3">
        <f>H71/D71*100</f>
        <v>1377.7484341404133</v>
      </c>
      <c r="N71">
        <v>300609</v>
      </c>
      <c r="O71" s="3">
        <v>86.013999999999996</v>
      </c>
      <c r="P71" s="2">
        <v>95.894999999999996</v>
      </c>
      <c r="Q71">
        <v>1425.3033333333333</v>
      </c>
      <c r="R71" s="1">
        <v>-0.47514204247447001</v>
      </c>
      <c r="S71" s="1">
        <v>380.26</v>
      </c>
      <c r="T71" s="1">
        <v>146135</v>
      </c>
    </row>
    <row r="72" spans="1:20" x14ac:dyDescent="0.2">
      <c r="A72" t="s">
        <v>71</v>
      </c>
      <c r="B72" s="3">
        <v>14402.082</v>
      </c>
      <c r="C72" s="3">
        <v>16713.313999999998</v>
      </c>
      <c r="D72" s="3">
        <v>86.171000000000006</v>
      </c>
      <c r="E72" s="3">
        <v>9678.7129999999997</v>
      </c>
      <c r="F72" s="3">
        <v>2166.1080000000002</v>
      </c>
      <c r="G72" s="3">
        <v>6326.9129999999996</v>
      </c>
      <c r="H72" s="3">
        <v>1185.692</v>
      </c>
      <c r="I72" s="3">
        <v>11212.669</v>
      </c>
      <c r="J72" s="3">
        <f>E72/D72*100</f>
        <v>11231.98407817015</v>
      </c>
      <c r="K72" s="3">
        <f>F72/D72*100</f>
        <v>2513.7319980039688</v>
      </c>
      <c r="L72" s="3">
        <f>G72/D72*100</f>
        <v>7342.2764038945797</v>
      </c>
      <c r="M72" s="3">
        <f>H72/D72*100</f>
        <v>1375.9756762715995</v>
      </c>
      <c r="N72">
        <v>301284</v>
      </c>
      <c r="O72" s="3">
        <v>86.272000000000006</v>
      </c>
      <c r="P72" s="2">
        <v>96.31</v>
      </c>
      <c r="Q72">
        <v>1496.3233333333335</v>
      </c>
      <c r="R72" s="1">
        <v>-1.8150725249446502</v>
      </c>
      <c r="S72" s="1">
        <v>380.01</v>
      </c>
      <c r="T72" s="1">
        <v>145850.66666666666</v>
      </c>
    </row>
    <row r="73" spans="1:20" x14ac:dyDescent="0.2">
      <c r="A73" t="s">
        <v>70</v>
      </c>
      <c r="B73" s="3">
        <v>14564.117</v>
      </c>
      <c r="C73" s="3">
        <v>16809.587</v>
      </c>
      <c r="D73" s="3">
        <v>86.641999999999996</v>
      </c>
      <c r="E73" s="3">
        <v>9798.3829999999998</v>
      </c>
      <c r="F73" s="3">
        <v>2188.1509999999998</v>
      </c>
      <c r="G73" s="3">
        <v>6418.3729999999996</v>
      </c>
      <c r="H73" s="3">
        <v>1191.8589999999999</v>
      </c>
      <c r="I73" s="3">
        <v>11287.468000000001</v>
      </c>
      <c r="J73" s="3">
        <f>E73/D73*100</f>
        <v>11309.045266729761</v>
      </c>
      <c r="K73" s="3">
        <f>F73/D73*100</f>
        <v>2525.5084139331962</v>
      </c>
      <c r="L73" s="3">
        <f>G73/D73*100</f>
        <v>7407.923408970245</v>
      </c>
      <c r="M73" s="3">
        <f>H73/D73*100</f>
        <v>1375.6134438263198</v>
      </c>
      <c r="N73">
        <v>302062</v>
      </c>
      <c r="O73" s="3">
        <v>87.03</v>
      </c>
      <c r="P73" s="2">
        <v>96.054000000000002</v>
      </c>
      <c r="Q73">
        <v>1490.8166666666666</v>
      </c>
      <c r="R73" s="1">
        <v>-1.5217289985649949</v>
      </c>
      <c r="S73" s="1">
        <v>375.76</v>
      </c>
      <c r="T73" s="1">
        <v>145943.66666666666</v>
      </c>
    </row>
    <row r="74" spans="1:20" x14ac:dyDescent="0.2">
      <c r="A74" t="s">
        <v>69</v>
      </c>
      <c r="B74" s="3">
        <v>14715.058000000001</v>
      </c>
      <c r="C74" s="3">
        <v>16915.190999999999</v>
      </c>
      <c r="D74" s="3">
        <v>86.992999999999995</v>
      </c>
      <c r="E74" s="3">
        <v>9937.14</v>
      </c>
      <c r="F74" s="3">
        <v>2232.5889999999999</v>
      </c>
      <c r="G74" s="3">
        <v>6508.9520000000002</v>
      </c>
      <c r="H74" s="3">
        <v>1195.5989999999999</v>
      </c>
      <c r="I74" s="3">
        <v>11331.949000000001</v>
      </c>
      <c r="J74" s="3">
        <f>E74/D74*100</f>
        <v>11422.919085443657</v>
      </c>
      <c r="K74" s="3">
        <f>F74/D74*100</f>
        <v>2566.4007448875195</v>
      </c>
      <c r="L74" s="3">
        <f>G74/D74*100</f>
        <v>7482.1560355430902</v>
      </c>
      <c r="M74" s="3">
        <f>H74/D74*100</f>
        <v>1374.362305013047</v>
      </c>
      <c r="N74">
        <v>302829</v>
      </c>
      <c r="O74" s="3">
        <v>87.715999999999994</v>
      </c>
      <c r="P74" s="2">
        <v>95.792000000000002</v>
      </c>
      <c r="Q74">
        <v>1494.0900000000001</v>
      </c>
      <c r="R74" s="1">
        <v>2.5401039475799152</v>
      </c>
      <c r="S74" s="1">
        <v>374.54</v>
      </c>
      <c r="T74" s="1">
        <v>146271.33333333334</v>
      </c>
    </row>
    <row r="75" spans="1:20" x14ac:dyDescent="0.2">
      <c r="A75" t="s">
        <v>68</v>
      </c>
      <c r="B75" s="3">
        <v>14706.538</v>
      </c>
      <c r="C75" s="3">
        <v>16843.003000000001</v>
      </c>
      <c r="D75" s="3">
        <v>87.314999999999998</v>
      </c>
      <c r="E75" s="3">
        <v>10004.445</v>
      </c>
      <c r="F75" s="3">
        <v>2252.8589999999999</v>
      </c>
      <c r="G75" s="3">
        <v>6598.0770000000002</v>
      </c>
      <c r="H75" s="3">
        <v>1153.509</v>
      </c>
      <c r="I75" s="3">
        <v>11316.411</v>
      </c>
      <c r="J75" s="3">
        <f>E75/D75*100</f>
        <v>11457.876653495963</v>
      </c>
      <c r="K75" s="3">
        <f>F75/D75*100</f>
        <v>2580.1511767737502</v>
      </c>
      <c r="L75" s="3">
        <f>G75/D75*100</f>
        <v>7556.6363167840582</v>
      </c>
      <c r="M75" s="3">
        <f>H75/D75*100</f>
        <v>1321.089159938155</v>
      </c>
      <c r="N75">
        <v>303494</v>
      </c>
      <c r="O75" s="3">
        <v>87.135999999999996</v>
      </c>
      <c r="P75" s="2">
        <v>95.468000000000004</v>
      </c>
      <c r="Q75">
        <v>1350.19</v>
      </c>
      <c r="R75" s="1">
        <v>-5.1705791622981083</v>
      </c>
      <c r="S75" s="1">
        <v>371.78</v>
      </c>
      <c r="T75" s="1">
        <v>146206.66666666666</v>
      </c>
    </row>
    <row r="76" spans="1:20" x14ac:dyDescent="0.2">
      <c r="A76" t="s">
        <v>67</v>
      </c>
      <c r="B76" s="3">
        <v>14865.700999999999</v>
      </c>
      <c r="C76" s="3">
        <v>16943.291000000001</v>
      </c>
      <c r="D76" s="3">
        <v>87.738</v>
      </c>
      <c r="E76" s="3">
        <v>10129.869000000001</v>
      </c>
      <c r="F76" s="3">
        <v>2305.8029999999999</v>
      </c>
      <c r="G76" s="3">
        <v>6686.3360000000002</v>
      </c>
      <c r="H76" s="3">
        <v>1137.729</v>
      </c>
      <c r="I76" s="3">
        <v>11347.594999999999</v>
      </c>
      <c r="J76" s="3">
        <f>E76/D76*100</f>
        <v>11545.589140395268</v>
      </c>
      <c r="K76" s="3">
        <f>F76/D76*100</f>
        <v>2628.0551186487037</v>
      </c>
      <c r="L76" s="3">
        <f>G76/D76*100</f>
        <v>7620.7982858054665</v>
      </c>
      <c r="M76" s="3">
        <f>H76/D76*100</f>
        <v>1296.7345961840936</v>
      </c>
      <c r="N76">
        <v>304160</v>
      </c>
      <c r="O76" s="3">
        <v>88.158000000000001</v>
      </c>
      <c r="P76" s="2">
        <v>94.917000000000002</v>
      </c>
      <c r="Q76">
        <v>1371.6466666666668</v>
      </c>
      <c r="R76" s="1">
        <v>0.7744292869081072</v>
      </c>
      <c r="S76" s="1">
        <v>362.39</v>
      </c>
      <c r="T76" s="1">
        <v>145925.66666666666</v>
      </c>
    </row>
    <row r="77" spans="1:20" x14ac:dyDescent="0.2">
      <c r="A77" t="s">
        <v>66</v>
      </c>
      <c r="B77" s="3">
        <v>14898.999</v>
      </c>
      <c r="C77" s="3">
        <v>16854.294999999998</v>
      </c>
      <c r="D77" s="3">
        <v>88.399000000000001</v>
      </c>
      <c r="E77" s="3">
        <v>10159.078</v>
      </c>
      <c r="F77" s="3">
        <v>2332.0889999999999</v>
      </c>
      <c r="G77" s="3">
        <v>6731.1710000000003</v>
      </c>
      <c r="H77" s="3">
        <v>1095.819</v>
      </c>
      <c r="I77" s="3">
        <v>11260.136</v>
      </c>
      <c r="J77" s="3">
        <f>E77/D77*100</f>
        <v>11492.299686648039</v>
      </c>
      <c r="K77" s="3">
        <f>F77/D77*100</f>
        <v>2638.139571714612</v>
      </c>
      <c r="L77" s="3">
        <f>G77/D77*100</f>
        <v>7614.5329698299765</v>
      </c>
      <c r="M77" s="3">
        <f>H77/D77*100</f>
        <v>1239.6282763379675</v>
      </c>
      <c r="N77">
        <v>304902</v>
      </c>
      <c r="O77" s="3">
        <v>88.373999999999995</v>
      </c>
      <c r="P77" s="2">
        <v>93.872</v>
      </c>
      <c r="Q77">
        <v>1251.9166666666667</v>
      </c>
      <c r="R77" s="1">
        <v>2.2045993404038882</v>
      </c>
      <c r="S77" s="1">
        <v>350.98</v>
      </c>
      <c r="T77" s="1">
        <v>145270.33333333334</v>
      </c>
    </row>
    <row r="78" spans="1:20" x14ac:dyDescent="0.2">
      <c r="A78" t="s">
        <v>65</v>
      </c>
      <c r="B78" s="3">
        <v>14608.209000000001</v>
      </c>
      <c r="C78" s="3">
        <v>16485.349999999999</v>
      </c>
      <c r="D78" s="3">
        <v>88.613</v>
      </c>
      <c r="E78" s="3">
        <v>9906.9419999999991</v>
      </c>
      <c r="F78" s="3">
        <v>2167.09</v>
      </c>
      <c r="G78" s="3">
        <v>6731.8649999999998</v>
      </c>
      <c r="H78" s="3">
        <v>1007.986</v>
      </c>
      <c r="I78" s="3">
        <v>11158.800999999999</v>
      </c>
      <c r="J78" s="3">
        <f>E78/D78*100</f>
        <v>11180.009705122273</v>
      </c>
      <c r="K78" s="3">
        <f>F78/D78*100</f>
        <v>2445.5666775755253</v>
      </c>
      <c r="L78" s="3">
        <f>G78/D78*100</f>
        <v>7596.9270874476651</v>
      </c>
      <c r="M78" s="3">
        <f>H78/D78*100</f>
        <v>1137.5148115964926</v>
      </c>
      <c r="N78">
        <v>305616</v>
      </c>
      <c r="O78" s="3">
        <v>87.900999999999996</v>
      </c>
      <c r="P78" s="2">
        <v>91.472999999999999</v>
      </c>
      <c r="Q78">
        <v>909.79999999999984</v>
      </c>
      <c r="R78" s="1">
        <v>-0.6146262354128762</v>
      </c>
      <c r="S78" s="1">
        <v>347.73</v>
      </c>
      <c r="T78" s="1">
        <v>144090.33333333334</v>
      </c>
    </row>
    <row r="79" spans="1:20" x14ac:dyDescent="0.2">
      <c r="A79" t="s">
        <v>64</v>
      </c>
      <c r="B79" s="3">
        <v>14430.902</v>
      </c>
      <c r="C79" s="3">
        <v>16298.262000000001</v>
      </c>
      <c r="D79" s="3">
        <v>88.543000000000006</v>
      </c>
      <c r="E79" s="3">
        <v>9814.9689999999991</v>
      </c>
      <c r="F79" s="3">
        <v>2115.5479999999998</v>
      </c>
      <c r="G79" s="3">
        <v>6694.942</v>
      </c>
      <c r="H79" s="3">
        <v>1004.48</v>
      </c>
      <c r="I79" s="3">
        <v>11130.464</v>
      </c>
      <c r="J79" s="3">
        <f>E79/D79*100</f>
        <v>11084.974532148221</v>
      </c>
      <c r="K79" s="3">
        <f>F79/D79*100</f>
        <v>2389.2888201212963</v>
      </c>
      <c r="L79" s="3">
        <f>G79/D79*100</f>
        <v>7561.2323955592192</v>
      </c>
      <c r="M79" s="3">
        <f>H79/D79*100</f>
        <v>1134.4544458624621</v>
      </c>
      <c r="N79">
        <v>306237</v>
      </c>
      <c r="O79" s="3">
        <v>88.900999999999996</v>
      </c>
      <c r="P79" s="2">
        <v>89.016000000000005</v>
      </c>
      <c r="Q79">
        <v>809.31333333333339</v>
      </c>
      <c r="R79" s="1">
        <v>4.9047275653234355</v>
      </c>
      <c r="S79" s="1">
        <v>350.3</v>
      </c>
      <c r="T79" s="1">
        <v>141499.66666666666</v>
      </c>
    </row>
    <row r="80" spans="1:20" x14ac:dyDescent="0.2">
      <c r="A80" t="s">
        <v>63</v>
      </c>
      <c r="B80" s="3">
        <v>14381.236000000001</v>
      </c>
      <c r="C80" s="3">
        <v>16269.145</v>
      </c>
      <c r="D80" s="3">
        <v>88.396000000000001</v>
      </c>
      <c r="E80" s="3">
        <v>9805.5020000000004</v>
      </c>
      <c r="F80" s="3">
        <v>2139.7739999999999</v>
      </c>
      <c r="G80" s="3">
        <v>6671.0280000000002</v>
      </c>
      <c r="H80" s="3">
        <v>994.7</v>
      </c>
      <c r="I80" s="3">
        <v>11075.748</v>
      </c>
      <c r="J80" s="3">
        <f>E80/D80*100</f>
        <v>11092.698764649984</v>
      </c>
      <c r="K80" s="3">
        <f>F80/D80*100</f>
        <v>2420.6683560342094</v>
      </c>
      <c r="L80" s="3">
        <f>G80/D80*100</f>
        <v>7546.7532467532465</v>
      </c>
      <c r="M80" s="3">
        <f>H80/D80*100</f>
        <v>1125.2771618625279</v>
      </c>
      <c r="N80">
        <v>306866</v>
      </c>
      <c r="O80" s="3">
        <v>90.942999999999998</v>
      </c>
      <c r="P80" s="2">
        <v>86.832999999999998</v>
      </c>
      <c r="Q80">
        <v>892.22666666666657</v>
      </c>
      <c r="R80" s="1">
        <v>10.405020673864358</v>
      </c>
      <c r="S80" s="1">
        <v>341.13</v>
      </c>
      <c r="T80" s="1">
        <v>140304.33333333334</v>
      </c>
    </row>
    <row r="81" spans="1:20" x14ac:dyDescent="0.2">
      <c r="A81" t="s">
        <v>62</v>
      </c>
      <c r="B81" s="3">
        <v>14448.882</v>
      </c>
      <c r="C81" s="3">
        <v>16326.281000000001</v>
      </c>
      <c r="D81" s="3">
        <v>88.501000000000005</v>
      </c>
      <c r="E81" s="3">
        <v>9939.4060000000009</v>
      </c>
      <c r="F81" s="3">
        <v>2193.373</v>
      </c>
      <c r="G81" s="3">
        <v>6710.9290000000001</v>
      </c>
      <c r="H81" s="3">
        <v>1035.104</v>
      </c>
      <c r="I81" s="3">
        <v>11150.23</v>
      </c>
      <c r="J81" s="3">
        <f>E81/D81*100</f>
        <v>11230.840329487803</v>
      </c>
      <c r="K81" s="3">
        <f>F81/D81*100</f>
        <v>2478.3595665585699</v>
      </c>
      <c r="L81" s="3">
        <f>G81/D81*100</f>
        <v>7582.8849391532303</v>
      </c>
      <c r="M81" s="3">
        <f>H81/D81*100</f>
        <v>1169.5958237760026</v>
      </c>
      <c r="N81">
        <v>307573</v>
      </c>
      <c r="O81" s="3">
        <v>92.391999999999996</v>
      </c>
      <c r="P81" s="2">
        <v>85.747</v>
      </c>
      <c r="Q81">
        <v>996.70000000000016</v>
      </c>
      <c r="R81" s="1">
        <v>0.12977966661935358</v>
      </c>
      <c r="S81" s="1">
        <v>332.23</v>
      </c>
      <c r="T81" s="1">
        <v>139403.66666666666</v>
      </c>
    </row>
    <row r="82" spans="1:20" x14ac:dyDescent="0.2">
      <c r="A82" t="s">
        <v>61</v>
      </c>
      <c r="B82" s="3">
        <v>14651.249</v>
      </c>
      <c r="C82" s="3">
        <v>16502.754000000001</v>
      </c>
      <c r="D82" s="3">
        <v>88.781000000000006</v>
      </c>
      <c r="E82" s="3">
        <v>10004.995999999999</v>
      </c>
      <c r="F82" s="3">
        <v>2222.9090000000001</v>
      </c>
      <c r="G82" s="3">
        <v>6767.8850000000002</v>
      </c>
      <c r="H82" s="3">
        <v>1014.201</v>
      </c>
      <c r="I82" s="3">
        <v>11137.946</v>
      </c>
      <c r="J82" s="3">
        <f>E82/D82*100</f>
        <v>11269.29861118933</v>
      </c>
      <c r="K82" s="3">
        <f>F82/D82*100</f>
        <v>2503.8116263614961</v>
      </c>
      <c r="L82" s="3">
        <f>G82/D82*100</f>
        <v>7623.1231907728006</v>
      </c>
      <c r="M82" s="3">
        <f>H82/D82*100</f>
        <v>1142.3626676879062</v>
      </c>
      <c r="N82">
        <v>308285</v>
      </c>
      <c r="O82" s="3">
        <v>93.644000000000005</v>
      </c>
      <c r="P82" s="2">
        <v>85.742999999999995</v>
      </c>
      <c r="Q82">
        <v>1088.7033333333334</v>
      </c>
      <c r="R82" s="1">
        <v>1.8247528035949556</v>
      </c>
      <c r="S82" s="1">
        <v>329.69</v>
      </c>
      <c r="T82" s="1">
        <v>138368</v>
      </c>
    </row>
    <row r="83" spans="1:20" x14ac:dyDescent="0.2">
      <c r="A83" t="s">
        <v>60</v>
      </c>
      <c r="B83" s="3">
        <v>14764.61</v>
      </c>
      <c r="C83" s="3">
        <v>16582.71</v>
      </c>
      <c r="D83" s="3">
        <v>89.036000000000001</v>
      </c>
      <c r="E83" s="3">
        <v>10101.822</v>
      </c>
      <c r="F83" s="3">
        <v>2245.069</v>
      </c>
      <c r="G83" s="3">
        <v>6835.6689999999999</v>
      </c>
      <c r="H83" s="3">
        <v>1021.085</v>
      </c>
      <c r="I83" s="3">
        <v>11202.495000000001</v>
      </c>
      <c r="J83" s="3">
        <f>E83/D83*100</f>
        <v>11345.772496518262</v>
      </c>
      <c r="K83" s="3">
        <f>F83/D83*100</f>
        <v>2521.5294936879463</v>
      </c>
      <c r="L83" s="3">
        <f>G83/D83*100</f>
        <v>7677.4214924300286</v>
      </c>
      <c r="M83" s="3">
        <f>H83/D83*100</f>
        <v>1146.8226335414888</v>
      </c>
      <c r="N83">
        <v>308901</v>
      </c>
      <c r="O83" s="3">
        <v>93.742999999999995</v>
      </c>
      <c r="P83" s="2">
        <v>86.108999999999995</v>
      </c>
      <c r="Q83">
        <v>1121.5966666666666</v>
      </c>
      <c r="R83" s="1">
        <v>-4.4676147697409849</v>
      </c>
      <c r="S83" s="1">
        <v>325.76</v>
      </c>
      <c r="T83" s="1">
        <v>138590</v>
      </c>
    </row>
    <row r="84" spans="1:20" x14ac:dyDescent="0.2">
      <c r="A84" t="s">
        <v>59</v>
      </c>
      <c r="B84" s="3">
        <v>14980.192999999999</v>
      </c>
      <c r="C84" s="3">
        <v>16743.162</v>
      </c>
      <c r="D84" s="3">
        <v>89.471000000000004</v>
      </c>
      <c r="E84" s="3">
        <v>10208.145</v>
      </c>
      <c r="F84" s="3">
        <v>2247.3330000000001</v>
      </c>
      <c r="G84" s="3">
        <v>6916.9110000000001</v>
      </c>
      <c r="H84" s="3">
        <v>1043.9010000000001</v>
      </c>
      <c r="I84" s="3">
        <v>11302.955</v>
      </c>
      <c r="J84" s="3">
        <f>E84/D84*100</f>
        <v>11409.445518659677</v>
      </c>
      <c r="K84" s="3">
        <f>F84/D84*100</f>
        <v>2511.8004716612086</v>
      </c>
      <c r="L84" s="3">
        <f>G84/D84*100</f>
        <v>7730.8971622089839</v>
      </c>
      <c r="M84" s="3">
        <f>H84/D84*100</f>
        <v>1166.7478847894849</v>
      </c>
      <c r="N84">
        <v>309488</v>
      </c>
      <c r="O84" s="3">
        <v>94.055000000000007</v>
      </c>
      <c r="P84" s="2">
        <v>86.762</v>
      </c>
      <c r="Q84">
        <v>1135.2466666666667</v>
      </c>
      <c r="R84" s="1">
        <v>-2.253075896868713</v>
      </c>
      <c r="S84" s="1">
        <v>322.8</v>
      </c>
      <c r="T84" s="1">
        <v>139226.33333333334</v>
      </c>
    </row>
    <row r="85" spans="1:20" x14ac:dyDescent="0.2">
      <c r="A85" t="s">
        <v>58</v>
      </c>
      <c r="B85" s="3">
        <v>15141.607</v>
      </c>
      <c r="C85" s="3">
        <v>16872.266</v>
      </c>
      <c r="D85" s="3">
        <v>89.742999999999995</v>
      </c>
      <c r="E85" s="3">
        <v>10300.754000000001</v>
      </c>
      <c r="F85" s="3">
        <v>2262.6959999999999</v>
      </c>
      <c r="G85" s="3">
        <v>6985.6350000000002</v>
      </c>
      <c r="H85" s="3">
        <v>1052.423</v>
      </c>
      <c r="I85" s="3">
        <v>11383.596</v>
      </c>
      <c r="J85" s="3">
        <f>E85/D85*100</f>
        <v>11478.058455812712</v>
      </c>
      <c r="K85" s="3">
        <f>F85/D85*100</f>
        <v>2521.3063971563242</v>
      </c>
      <c r="L85" s="3">
        <f>G85/D85*100</f>
        <v>7784.0444380063072</v>
      </c>
      <c r="M85" s="3">
        <f>H85/D85*100</f>
        <v>1172.7076206500788</v>
      </c>
      <c r="N85">
        <v>310148</v>
      </c>
      <c r="O85" s="3">
        <v>94.662999999999997</v>
      </c>
      <c r="P85" s="2">
        <v>87.167000000000002</v>
      </c>
      <c r="Q85">
        <v>1096.3866666666665</v>
      </c>
      <c r="R85" s="1">
        <v>2.4270246033491771</v>
      </c>
      <c r="S85" s="1">
        <v>325.92</v>
      </c>
      <c r="T85" s="1">
        <v>139337.66666666666</v>
      </c>
    </row>
    <row r="86" spans="1:20" x14ac:dyDescent="0.2">
      <c r="A86" t="s">
        <v>57</v>
      </c>
      <c r="B86" s="3">
        <v>15309.474</v>
      </c>
      <c r="C86" s="3">
        <v>16960.864000000001</v>
      </c>
      <c r="D86" s="3">
        <v>90.263999999999996</v>
      </c>
      <c r="E86" s="3">
        <v>10430.304</v>
      </c>
      <c r="F86" s="3">
        <v>2320.3510000000001</v>
      </c>
      <c r="G86" s="3">
        <v>7031.5110000000004</v>
      </c>
      <c r="H86" s="3">
        <v>1078.441</v>
      </c>
      <c r="I86" s="3">
        <v>11453.368</v>
      </c>
      <c r="J86" s="3">
        <f>E86/D86*100</f>
        <v>11555.331028981655</v>
      </c>
      <c r="K86" s="3">
        <f>F86/D86*100</f>
        <v>2570.6272711158385</v>
      </c>
      <c r="L86" s="3">
        <f>G86/D86*100</f>
        <v>7789.9395107684131</v>
      </c>
      <c r="M86" s="3">
        <f>H86/D86*100</f>
        <v>1194.7631392360188</v>
      </c>
      <c r="N86">
        <v>310817</v>
      </c>
      <c r="O86" s="3">
        <v>94.962999999999994</v>
      </c>
      <c r="P86" s="2">
        <v>87.587000000000003</v>
      </c>
      <c r="Q86">
        <v>1204</v>
      </c>
      <c r="R86" s="1">
        <v>-2.0669793838882606</v>
      </c>
      <c r="S86" s="1">
        <v>323.61</v>
      </c>
      <c r="T86" s="1">
        <v>139154.66666666666</v>
      </c>
    </row>
    <row r="87" spans="1:20" x14ac:dyDescent="0.2">
      <c r="A87" t="s">
        <v>56</v>
      </c>
      <c r="B87" s="3">
        <v>15351.448</v>
      </c>
      <c r="C87" s="3">
        <v>16920.632000000001</v>
      </c>
      <c r="D87" s="3">
        <v>90.725999999999999</v>
      </c>
      <c r="E87" s="3">
        <v>10558.195</v>
      </c>
      <c r="F87" s="3">
        <v>2381.1080000000002</v>
      </c>
      <c r="G87" s="3">
        <v>7089.16</v>
      </c>
      <c r="H87" s="3">
        <v>1087.9269999999999</v>
      </c>
      <c r="I87" s="3">
        <v>11497.12</v>
      </c>
      <c r="J87" s="3">
        <f>E87/D87*100</f>
        <v>11637.452328990586</v>
      </c>
      <c r="K87" s="3">
        <f>F87/D87*100</f>
        <v>2624.5045521680668</v>
      </c>
      <c r="L87" s="3">
        <f>G87/D87*100</f>
        <v>7813.8130194211144</v>
      </c>
      <c r="M87" s="3">
        <f>H87/D87*100</f>
        <v>1199.1347574014064</v>
      </c>
      <c r="N87">
        <v>311376</v>
      </c>
      <c r="O87" s="3">
        <v>94.262</v>
      </c>
      <c r="P87" s="2">
        <v>87.739000000000004</v>
      </c>
      <c r="Q87">
        <v>1302.7433333333331</v>
      </c>
      <c r="R87" s="1">
        <v>-1.7481476042801898</v>
      </c>
      <c r="S87" s="1">
        <v>314.62</v>
      </c>
      <c r="T87" s="1">
        <v>139427.66666666666</v>
      </c>
    </row>
    <row r="88" spans="1:20" x14ac:dyDescent="0.2">
      <c r="A88" t="s">
        <v>55</v>
      </c>
      <c r="B88" s="3">
        <v>15557.539000000001</v>
      </c>
      <c r="C88" s="3">
        <v>17035.114000000001</v>
      </c>
      <c r="D88" s="3">
        <v>91.325999999999993</v>
      </c>
      <c r="E88" s="3">
        <v>10673.018</v>
      </c>
      <c r="F88" s="3">
        <v>2431.5540000000001</v>
      </c>
      <c r="G88" s="3">
        <v>7158.5609999999997</v>
      </c>
      <c r="H88" s="3">
        <v>1082.903</v>
      </c>
      <c r="I88" s="3">
        <v>11508.95</v>
      </c>
      <c r="J88" s="3">
        <f>E88/D88*100</f>
        <v>11686.724481527715</v>
      </c>
      <c r="K88" s="3">
        <f>F88/D88*100</f>
        <v>2662.4991787661784</v>
      </c>
      <c r="L88" s="3">
        <f>G88/D88*100</f>
        <v>7838.4698771434205</v>
      </c>
      <c r="M88" s="3">
        <f>H88/D88*100</f>
        <v>1185.7554256181154</v>
      </c>
      <c r="N88">
        <v>311940</v>
      </c>
      <c r="O88" s="3">
        <v>94.320999999999998</v>
      </c>
      <c r="P88" s="2">
        <v>88.620999999999995</v>
      </c>
      <c r="Q88">
        <v>1319.0366666666666</v>
      </c>
      <c r="R88" s="1">
        <v>-1.4640328622246148</v>
      </c>
      <c r="S88" s="1">
        <v>309.06</v>
      </c>
      <c r="T88" s="1">
        <v>139531.33333333334</v>
      </c>
    </row>
    <row r="89" spans="1:20" x14ac:dyDescent="0.2">
      <c r="A89" t="s">
        <v>54</v>
      </c>
      <c r="B89" s="3">
        <v>15647.68</v>
      </c>
      <c r="C89" s="3">
        <v>17031.312999999998</v>
      </c>
      <c r="D89" s="3">
        <v>91.876000000000005</v>
      </c>
      <c r="E89" s="3">
        <v>10755.029</v>
      </c>
      <c r="F89" s="3">
        <v>2437.0189999999998</v>
      </c>
      <c r="G89" s="3">
        <v>7227.2539999999999</v>
      </c>
      <c r="H89" s="3">
        <v>1090.7550000000001</v>
      </c>
      <c r="I89" s="3">
        <v>11543.975</v>
      </c>
      <c r="J89" s="3">
        <f>E89/D89*100</f>
        <v>11706.026601071007</v>
      </c>
      <c r="K89" s="3">
        <f>F89/D89*100</f>
        <v>2652.5088162305715</v>
      </c>
      <c r="L89" s="3">
        <f>G89/D89*100</f>
        <v>7866.3132918281153</v>
      </c>
      <c r="M89" s="3">
        <f>H89/D89*100</f>
        <v>1187.2034045887935</v>
      </c>
      <c r="N89">
        <v>312606</v>
      </c>
      <c r="O89" s="3">
        <v>94.147000000000006</v>
      </c>
      <c r="P89" s="2">
        <v>88.85</v>
      </c>
      <c r="Q89">
        <v>1228.1266666666668</v>
      </c>
      <c r="R89" s="1">
        <v>-0.8396908439586408</v>
      </c>
      <c r="S89" s="1">
        <v>311.36</v>
      </c>
      <c r="T89" s="1">
        <v>139883</v>
      </c>
    </row>
    <row r="90" spans="1:20" x14ac:dyDescent="0.2">
      <c r="A90" t="s">
        <v>53</v>
      </c>
      <c r="B90" s="3">
        <v>15842.259</v>
      </c>
      <c r="C90" s="3">
        <v>17222.582999999999</v>
      </c>
      <c r="D90" s="3">
        <v>91.984999999999999</v>
      </c>
      <c r="E90" s="3">
        <v>10809.186</v>
      </c>
      <c r="F90" s="3">
        <v>2448.8069999999998</v>
      </c>
      <c r="G90" s="3">
        <v>7247.97</v>
      </c>
      <c r="H90" s="3">
        <v>1112.4090000000001</v>
      </c>
      <c r="I90" s="3">
        <v>11563.89</v>
      </c>
      <c r="J90" s="3">
        <f>E90/D90*100</f>
        <v>11751.031146382562</v>
      </c>
      <c r="K90" s="3">
        <f>F90/D90*100</f>
        <v>2662.1807903462518</v>
      </c>
      <c r="L90" s="3">
        <f>G90/D90*100</f>
        <v>7879.5129640702289</v>
      </c>
      <c r="M90" s="3">
        <f>H90/D90*100</f>
        <v>1209.3373919660814</v>
      </c>
      <c r="N90">
        <v>313258</v>
      </c>
      <c r="O90" s="3">
        <v>94.6</v>
      </c>
      <c r="P90" s="2">
        <v>89.686999999999998</v>
      </c>
      <c r="Q90">
        <v>1225.6533333333334</v>
      </c>
      <c r="R90" s="1">
        <v>2.2652262437590194</v>
      </c>
      <c r="S90" s="1">
        <v>312.8</v>
      </c>
      <c r="T90" s="1">
        <v>140698.66666666666</v>
      </c>
    </row>
    <row r="91" spans="1:20" x14ac:dyDescent="0.2">
      <c r="A91" t="s">
        <v>52</v>
      </c>
      <c r="B91" s="3">
        <v>16068.805</v>
      </c>
      <c r="C91" s="3">
        <v>17367.009999999998</v>
      </c>
      <c r="D91" s="3">
        <v>92.525000000000006</v>
      </c>
      <c r="E91" s="3">
        <v>10959.300999999999</v>
      </c>
      <c r="F91" s="3">
        <v>2490.6239999999998</v>
      </c>
      <c r="G91" s="3">
        <v>7330.585</v>
      </c>
      <c r="H91" s="3">
        <v>1138.0930000000001</v>
      </c>
      <c r="I91" s="3">
        <v>11647.297</v>
      </c>
      <c r="J91" s="3">
        <f>E91/D91*100</f>
        <v>11844.691704944609</v>
      </c>
      <c r="K91" s="3">
        <f>F91/D91*100</f>
        <v>2691.8389624425827</v>
      </c>
      <c r="L91" s="3">
        <f>G91/D91*100</f>
        <v>7922.8154552823553</v>
      </c>
      <c r="M91" s="3">
        <f>H91/D91*100</f>
        <v>1230.0383680086463</v>
      </c>
      <c r="N91">
        <v>313813</v>
      </c>
      <c r="O91" s="3">
        <v>95.076999999999998</v>
      </c>
      <c r="P91" s="2">
        <v>90.353999999999999</v>
      </c>
      <c r="Q91">
        <v>1347.4366666666665</v>
      </c>
      <c r="R91" s="1">
        <v>3.480701136570457</v>
      </c>
      <c r="S91" s="1">
        <v>309.52</v>
      </c>
      <c r="T91" s="1">
        <v>141826</v>
      </c>
    </row>
    <row r="92" spans="1:20" x14ac:dyDescent="0.2">
      <c r="A92" t="s">
        <v>51</v>
      </c>
      <c r="B92" s="3">
        <v>16207.115</v>
      </c>
      <c r="C92" s="3">
        <v>17444.525000000001</v>
      </c>
      <c r="D92" s="3">
        <v>92.906999999999996</v>
      </c>
      <c r="E92" s="3">
        <v>11005.055</v>
      </c>
      <c r="F92" s="3">
        <v>2482.819</v>
      </c>
      <c r="G92" s="3">
        <v>7388.6790000000001</v>
      </c>
      <c r="H92" s="3">
        <v>1133.557</v>
      </c>
      <c r="I92" s="3">
        <v>11667.753000000001</v>
      </c>
      <c r="J92" s="3">
        <f>E92/D92*100</f>
        <v>11845.237710829109</v>
      </c>
      <c r="K92" s="3">
        <f>F92/D92*100</f>
        <v>2672.3702196820477</v>
      </c>
      <c r="L92" s="3">
        <f>G92/D92*100</f>
        <v>7952.7688979301884</v>
      </c>
      <c r="M92" s="3">
        <f>H92/D92*100</f>
        <v>1220.0985932168728</v>
      </c>
      <c r="N92">
        <v>314373</v>
      </c>
      <c r="O92" s="3">
        <v>95.572000000000003</v>
      </c>
      <c r="P92" s="2">
        <v>90.471000000000004</v>
      </c>
      <c r="Q92">
        <v>1350.3933333333332</v>
      </c>
      <c r="R92" s="1">
        <v>-0.17216744563831554</v>
      </c>
      <c r="S92" s="1">
        <v>308.11</v>
      </c>
      <c r="T92" s="1">
        <v>142165.33333333334</v>
      </c>
    </row>
    <row r="93" spans="1:20" x14ac:dyDescent="0.2">
      <c r="A93" t="s">
        <v>50</v>
      </c>
      <c r="B93" s="3">
        <v>16319.540999999999</v>
      </c>
      <c r="C93" s="3">
        <v>17469.650000000001</v>
      </c>
      <c r="D93" s="3">
        <v>93.417000000000002</v>
      </c>
      <c r="E93" s="3">
        <v>11059.393</v>
      </c>
      <c r="F93" s="3">
        <v>2490.1329999999998</v>
      </c>
      <c r="G93" s="3">
        <v>7427.5870000000004</v>
      </c>
      <c r="H93" s="3">
        <v>1141.673</v>
      </c>
      <c r="I93" s="3">
        <v>11691.414000000001</v>
      </c>
      <c r="J93" s="3">
        <f>E93/D93*100</f>
        <v>11838.737060706295</v>
      </c>
      <c r="K93" s="3">
        <f>F93/D93*100</f>
        <v>2665.6101137908513</v>
      </c>
      <c r="L93" s="3">
        <f>G93/D93*100</f>
        <v>7951.0014237237347</v>
      </c>
      <c r="M93" s="3">
        <f>H93/D93*100</f>
        <v>1222.1255231917103</v>
      </c>
      <c r="N93">
        <v>315030</v>
      </c>
      <c r="O93" s="3">
        <v>95.290999999999997</v>
      </c>
      <c r="P93" s="2">
        <v>90.992000000000004</v>
      </c>
      <c r="Q93">
        <v>1402.2166666666665</v>
      </c>
      <c r="R93" s="1">
        <v>-3.0057986536374219</v>
      </c>
      <c r="S93" s="1">
        <v>312.2</v>
      </c>
      <c r="T93" s="1">
        <v>142542.33333333334</v>
      </c>
    </row>
    <row r="94" spans="1:20" x14ac:dyDescent="0.2">
      <c r="A94" t="s">
        <v>49</v>
      </c>
      <c r="B94" s="3">
        <v>16420.419000000002</v>
      </c>
      <c r="C94" s="3">
        <v>17489.851999999999</v>
      </c>
      <c r="D94" s="3">
        <v>93.885000000000005</v>
      </c>
      <c r="E94" s="3">
        <v>11165.703</v>
      </c>
      <c r="F94" s="3">
        <v>2510.4969999999998</v>
      </c>
      <c r="G94" s="3">
        <v>7491.6450000000004</v>
      </c>
      <c r="H94" s="3">
        <v>1163.5609999999999</v>
      </c>
      <c r="I94" s="3">
        <v>11738.007</v>
      </c>
      <c r="J94" s="3">
        <f>E94/D94*100</f>
        <v>11892.957341428342</v>
      </c>
      <c r="K94" s="3">
        <f>F94/D94*100</f>
        <v>2674.0128881077912</v>
      </c>
      <c r="L94" s="3">
        <f>G94/D94*100</f>
        <v>7979.5973797731267</v>
      </c>
      <c r="M94" s="3">
        <f>H94/D94*100</f>
        <v>1239.347073547425</v>
      </c>
      <c r="N94">
        <v>315685</v>
      </c>
      <c r="O94" s="3">
        <v>94.932000000000002</v>
      </c>
      <c r="P94" s="2">
        <v>91.52</v>
      </c>
      <c r="Q94">
        <v>1418.2066666666667</v>
      </c>
      <c r="R94" s="1">
        <v>-1.9887596359400739E-2</v>
      </c>
      <c r="S94" s="1">
        <v>314.66000000000003</v>
      </c>
      <c r="T94" s="1">
        <v>143364.66666666666</v>
      </c>
    </row>
    <row r="95" spans="1:20" x14ac:dyDescent="0.2">
      <c r="A95" t="s">
        <v>48</v>
      </c>
      <c r="B95" s="3">
        <v>16648.188999999998</v>
      </c>
      <c r="C95" s="3">
        <v>17662.400000000001</v>
      </c>
      <c r="D95" s="3">
        <v>94.257999999999996</v>
      </c>
      <c r="E95" s="3">
        <v>11277.664000000001</v>
      </c>
      <c r="F95" s="3">
        <v>2546.973</v>
      </c>
      <c r="G95" s="3">
        <v>7540.9489999999996</v>
      </c>
      <c r="H95" s="3">
        <v>1189.742</v>
      </c>
      <c r="I95" s="3">
        <v>11814.325999999999</v>
      </c>
      <c r="J95" s="3">
        <f>E95/D95*100</f>
        <v>11964.675677396084</v>
      </c>
      <c r="K95" s="3">
        <f>F95/D95*100</f>
        <v>2702.1292622376882</v>
      </c>
      <c r="L95" s="3">
        <f>G95/D95*100</f>
        <v>8000.3278236330079</v>
      </c>
      <c r="M95" s="3">
        <f>H95/D95*100</f>
        <v>1262.2185915253879</v>
      </c>
      <c r="N95">
        <v>316196</v>
      </c>
      <c r="O95" s="3">
        <v>95.397000000000006</v>
      </c>
      <c r="P95" s="2">
        <v>92.128</v>
      </c>
      <c r="Q95">
        <v>1514.5133333333333</v>
      </c>
      <c r="R95" s="1">
        <v>-0.61309054150620801</v>
      </c>
      <c r="S95" s="1">
        <v>316.20999999999998</v>
      </c>
      <c r="T95" s="1">
        <v>143323.33333333334</v>
      </c>
    </row>
    <row r="96" spans="1:20" x14ac:dyDescent="0.2">
      <c r="A96" t="s">
        <v>47</v>
      </c>
      <c r="B96" s="3">
        <v>16728.687000000002</v>
      </c>
      <c r="C96" s="3">
        <v>17709.670999999998</v>
      </c>
      <c r="D96" s="3">
        <v>94.460999999999999</v>
      </c>
      <c r="E96" s="3">
        <v>11315.681</v>
      </c>
      <c r="F96" s="3">
        <v>2522.8910000000001</v>
      </c>
      <c r="G96" s="3">
        <v>7605.1729999999998</v>
      </c>
      <c r="H96" s="3">
        <v>1187.617</v>
      </c>
      <c r="I96" s="3">
        <v>11848.089</v>
      </c>
      <c r="J96" s="3">
        <f>E96/D96*100</f>
        <v>11979.209409174158</v>
      </c>
      <c r="K96" s="3">
        <f>F96/D96*100</f>
        <v>2670.828172473296</v>
      </c>
      <c r="L96" s="3">
        <f>G96/D96*100</f>
        <v>8051.12480282868</v>
      </c>
      <c r="M96" s="3">
        <f>H96/D96*100</f>
        <v>1257.25643387218</v>
      </c>
      <c r="N96">
        <v>316733</v>
      </c>
      <c r="O96" s="3">
        <v>95.16</v>
      </c>
      <c r="P96" s="2">
        <v>92.504000000000005</v>
      </c>
      <c r="Q96">
        <v>1609.7699999999998</v>
      </c>
      <c r="R96" s="1">
        <v>-9.3228555724014228E-2</v>
      </c>
      <c r="S96" s="1">
        <v>321.02999999999997</v>
      </c>
      <c r="T96" s="1">
        <v>143838.66666666666</v>
      </c>
    </row>
    <row r="97" spans="1:20" x14ac:dyDescent="0.2">
      <c r="A97" t="s">
        <v>46</v>
      </c>
      <c r="B97" s="3">
        <v>16953.838</v>
      </c>
      <c r="C97" s="3">
        <v>17860.45</v>
      </c>
      <c r="D97" s="3">
        <v>94.924000000000007</v>
      </c>
      <c r="E97" s="3">
        <v>11408.359</v>
      </c>
      <c r="F97" s="3">
        <v>2553.3429999999998</v>
      </c>
      <c r="G97" s="3">
        <v>7663.0829999999996</v>
      </c>
      <c r="H97" s="3">
        <v>1191.933</v>
      </c>
      <c r="I97" s="3">
        <v>11896.258</v>
      </c>
      <c r="J97" s="3">
        <f>E97/D97*100</f>
        <v>12018.413678311068</v>
      </c>
      <c r="K97" s="3">
        <f>F97/D97*100</f>
        <v>2689.88137878724</v>
      </c>
      <c r="L97" s="3">
        <f>G97/D97*100</f>
        <v>8072.861447052378</v>
      </c>
      <c r="M97" s="3">
        <f>H97/D97*100</f>
        <v>1255.6708524714506</v>
      </c>
      <c r="N97">
        <v>317396</v>
      </c>
      <c r="O97" s="3">
        <v>95.837000000000003</v>
      </c>
      <c r="P97" s="2">
        <v>92.876000000000005</v>
      </c>
      <c r="Q97">
        <v>1675.3133333333335</v>
      </c>
      <c r="R97" s="1">
        <v>1.4702603921697452</v>
      </c>
      <c r="S97" s="1">
        <v>325.58</v>
      </c>
      <c r="T97" s="1">
        <v>144336</v>
      </c>
    </row>
    <row r="98" spans="1:20" x14ac:dyDescent="0.2">
      <c r="A98" t="s">
        <v>45</v>
      </c>
      <c r="B98" s="3">
        <v>17192.019</v>
      </c>
      <c r="C98" s="3">
        <v>18016.147000000001</v>
      </c>
      <c r="D98" s="3">
        <v>95.426000000000002</v>
      </c>
      <c r="E98" s="3">
        <v>11551.228999999999</v>
      </c>
      <c r="F98" s="3">
        <v>2578.384</v>
      </c>
      <c r="G98" s="3">
        <v>7774.9949999999999</v>
      </c>
      <c r="H98" s="3">
        <v>1197.8510000000001</v>
      </c>
      <c r="I98" s="3">
        <v>12001.027</v>
      </c>
      <c r="J98" s="3">
        <f>E98/D98*100</f>
        <v>12104.907467566491</v>
      </c>
      <c r="K98" s="3">
        <f>F98/D98*100</f>
        <v>2701.9722088319745</v>
      </c>
      <c r="L98" s="3">
        <f>G98/D98*100</f>
        <v>8147.6693982771994</v>
      </c>
      <c r="M98" s="3">
        <f>H98/D98*100</f>
        <v>1255.2669083897472</v>
      </c>
      <c r="N98">
        <v>318072</v>
      </c>
      <c r="O98" s="3">
        <v>96.760999999999996</v>
      </c>
      <c r="P98" s="2">
        <v>93.138000000000005</v>
      </c>
      <c r="Q98">
        <v>1770.4499999999998</v>
      </c>
      <c r="R98" s="1">
        <v>1.9843481839508452</v>
      </c>
      <c r="S98" s="1">
        <v>328.17</v>
      </c>
      <c r="T98" s="1">
        <v>144264.66666666666</v>
      </c>
    </row>
    <row r="99" spans="1:20" x14ac:dyDescent="0.2">
      <c r="A99" t="s">
        <v>44</v>
      </c>
      <c r="B99" s="3">
        <v>17197.738000000001</v>
      </c>
      <c r="C99" s="3">
        <v>17953.973999999998</v>
      </c>
      <c r="D99" s="3">
        <v>95.787999999999997</v>
      </c>
      <c r="E99" s="3">
        <v>11646.001</v>
      </c>
      <c r="F99" s="3">
        <v>2602.7820000000002</v>
      </c>
      <c r="G99" s="3">
        <v>7835.68</v>
      </c>
      <c r="H99" s="3">
        <v>1207.539</v>
      </c>
      <c r="I99" s="3">
        <v>12044.203</v>
      </c>
      <c r="J99" s="3">
        <f>E99/D99*100</f>
        <v>12158.100179563204</v>
      </c>
      <c r="K99" s="3">
        <f>F99/D99*100</f>
        <v>2717.2318035662092</v>
      </c>
      <c r="L99" s="3">
        <f>G99/D99*100</f>
        <v>8180.2313442184823</v>
      </c>
      <c r="M99" s="3">
        <f>H99/D99*100</f>
        <v>1260.6370317785108</v>
      </c>
      <c r="N99">
        <v>318645</v>
      </c>
      <c r="O99" s="3">
        <v>95.956999999999994</v>
      </c>
      <c r="P99" s="2">
        <v>93.495999999999995</v>
      </c>
      <c r="Q99">
        <v>1834.3066666666666</v>
      </c>
      <c r="R99" s="1">
        <v>-1.8158912462313577</v>
      </c>
      <c r="S99" s="1">
        <v>330.83</v>
      </c>
      <c r="T99" s="1">
        <v>145310.66666666666</v>
      </c>
    </row>
    <row r="100" spans="1:20" x14ac:dyDescent="0.2">
      <c r="A100" t="s">
        <v>43</v>
      </c>
      <c r="B100" s="3">
        <v>17518.508000000002</v>
      </c>
      <c r="C100" s="3">
        <v>18185.911</v>
      </c>
      <c r="D100" s="3">
        <v>96.33</v>
      </c>
      <c r="E100" s="3">
        <v>11810.450999999999</v>
      </c>
      <c r="F100" s="3">
        <v>2641.6210000000001</v>
      </c>
      <c r="G100" s="3">
        <v>7924.5969999999998</v>
      </c>
      <c r="H100" s="3">
        <v>1244.2329999999999</v>
      </c>
      <c r="I100" s="3">
        <v>12159.898999999999</v>
      </c>
      <c r="J100" s="3">
        <f>E100/D100*100</f>
        <v>12260.407972594207</v>
      </c>
      <c r="K100" s="3">
        <f>F100/D100*100</f>
        <v>2742.2620159867124</v>
      </c>
      <c r="L100" s="3">
        <f>G100/D100*100</f>
        <v>8226.5099138378482</v>
      </c>
      <c r="M100" s="3">
        <f>H100/D100*100</f>
        <v>1291.6360427696461</v>
      </c>
      <c r="N100">
        <v>319228</v>
      </c>
      <c r="O100" s="3">
        <v>96.578999999999994</v>
      </c>
      <c r="P100" s="2">
        <v>94.486999999999995</v>
      </c>
      <c r="Q100">
        <v>1900.3733333333332</v>
      </c>
      <c r="R100" s="1">
        <v>2.5929619041491052</v>
      </c>
      <c r="S100" s="1">
        <v>337.25</v>
      </c>
      <c r="T100" s="1">
        <v>145913</v>
      </c>
    </row>
    <row r="101" spans="1:20" x14ac:dyDescent="0.2">
      <c r="A101" t="s">
        <v>42</v>
      </c>
      <c r="B101" s="3">
        <v>17804.227999999999</v>
      </c>
      <c r="C101" s="3">
        <v>18406.940999999999</v>
      </c>
      <c r="D101" s="3">
        <v>96.725999999999999</v>
      </c>
      <c r="E101" s="3">
        <v>11959.79</v>
      </c>
      <c r="F101" s="3">
        <v>2660.652</v>
      </c>
      <c r="G101" s="3">
        <v>8037.8770000000004</v>
      </c>
      <c r="H101" s="3">
        <v>1261.26</v>
      </c>
      <c r="I101" s="3">
        <v>12280.085999999999</v>
      </c>
      <c r="J101" s="3">
        <f>E101/D101*100</f>
        <v>12364.607241072721</v>
      </c>
      <c r="K101" s="3">
        <f>F101/D101*100</f>
        <v>2750.7102537063456</v>
      </c>
      <c r="L101" s="3">
        <f>G101/D101*100</f>
        <v>8309.944585737032</v>
      </c>
      <c r="M101" s="3">
        <f>H101/D101*100</f>
        <v>1303.9513677811551</v>
      </c>
      <c r="N101">
        <v>319919</v>
      </c>
      <c r="O101" s="3">
        <v>97.406000000000006</v>
      </c>
      <c r="P101" s="2">
        <v>95.241</v>
      </c>
      <c r="Q101">
        <v>1975.9533333333336</v>
      </c>
      <c r="R101" s="1">
        <v>1.81577461881272</v>
      </c>
      <c r="S101" s="1">
        <v>342.11</v>
      </c>
      <c r="T101" s="1">
        <v>146569</v>
      </c>
    </row>
    <row r="102" spans="1:20" x14ac:dyDescent="0.2">
      <c r="A102" t="s">
        <v>41</v>
      </c>
      <c r="B102" s="3">
        <v>17912.079000000002</v>
      </c>
      <c r="C102" s="3">
        <v>18500.030999999999</v>
      </c>
      <c r="D102" s="3">
        <v>96.822000000000003</v>
      </c>
      <c r="E102" s="3">
        <v>12081.561</v>
      </c>
      <c r="F102" s="3">
        <v>2652.212</v>
      </c>
      <c r="G102" s="3">
        <v>8153.3389999999999</v>
      </c>
      <c r="H102" s="3">
        <v>1276.009</v>
      </c>
      <c r="I102" s="3">
        <v>12421.594999999999</v>
      </c>
      <c r="J102" s="3">
        <f>E102/D102*100</f>
        <v>12478.115510937596</v>
      </c>
      <c r="K102" s="3">
        <f>F102/D102*100</f>
        <v>2739.2658693272188</v>
      </c>
      <c r="L102" s="3">
        <f>G102/D102*100</f>
        <v>8420.9570139017978</v>
      </c>
      <c r="M102" s="3">
        <f>H102/D102*100</f>
        <v>1317.8915948854599</v>
      </c>
      <c r="N102">
        <v>320611</v>
      </c>
      <c r="O102" s="3">
        <v>97.075000000000003</v>
      </c>
      <c r="P102" s="2">
        <v>96.203000000000003</v>
      </c>
      <c r="Q102">
        <v>2012.0366666666669</v>
      </c>
      <c r="R102" s="1">
        <v>-1.4768081865723974</v>
      </c>
      <c r="S102" s="1">
        <v>344.87</v>
      </c>
      <c r="T102" s="1">
        <v>147482</v>
      </c>
    </row>
    <row r="103" spans="1:20" x14ac:dyDescent="0.2">
      <c r="A103" t="s">
        <v>40</v>
      </c>
      <c r="B103" s="3">
        <v>18063.528999999999</v>
      </c>
      <c r="C103" s="3">
        <v>18666.620999999999</v>
      </c>
      <c r="D103" s="3">
        <v>96.769000000000005</v>
      </c>
      <c r="E103" s="3">
        <v>12119.763000000001</v>
      </c>
      <c r="F103" s="3">
        <v>2605.7460000000001</v>
      </c>
      <c r="G103" s="3">
        <v>8222.973</v>
      </c>
      <c r="H103" s="3">
        <v>1291.0440000000001</v>
      </c>
      <c r="I103" s="3">
        <v>12516.902</v>
      </c>
      <c r="J103" s="3">
        <f>E103/D103*100</f>
        <v>12524.42724426211</v>
      </c>
      <c r="K103" s="3">
        <f>F103/D103*100</f>
        <v>2692.748710847482</v>
      </c>
      <c r="L103" s="3">
        <f>G103/D103*100</f>
        <v>8497.5281340098572</v>
      </c>
      <c r="M103" s="3">
        <f>H103/D103*100</f>
        <v>1334.150399404768</v>
      </c>
      <c r="N103">
        <v>321168</v>
      </c>
      <c r="O103" s="3">
        <v>97.637</v>
      </c>
      <c r="P103" s="2">
        <v>96.688000000000002</v>
      </c>
      <c r="Q103">
        <v>2063.4566666666665</v>
      </c>
      <c r="R103" s="1">
        <v>2.7062508244983334</v>
      </c>
      <c r="S103" s="1">
        <v>348.69</v>
      </c>
      <c r="T103" s="1">
        <v>148106</v>
      </c>
    </row>
    <row r="104" spans="1:20" x14ac:dyDescent="0.2">
      <c r="A104" t="s">
        <v>39</v>
      </c>
      <c r="B104" s="3">
        <v>18279.784</v>
      </c>
      <c r="C104" s="3">
        <v>18782.242999999999</v>
      </c>
      <c r="D104" s="3">
        <v>97.325000000000003</v>
      </c>
      <c r="E104" s="3">
        <v>12264.14</v>
      </c>
      <c r="F104" s="3">
        <v>2641.163</v>
      </c>
      <c r="G104" s="3">
        <v>8305.2099999999991</v>
      </c>
      <c r="H104" s="3">
        <v>1317.7660000000001</v>
      </c>
      <c r="I104" s="3">
        <v>12603.053</v>
      </c>
      <c r="J104" s="3">
        <f>E104/D104*100</f>
        <v>12601.22270742358</v>
      </c>
      <c r="K104" s="3">
        <f>F104/D104*100</f>
        <v>2713.755972257899</v>
      </c>
      <c r="L104" s="3">
        <f>G104/D104*100</f>
        <v>8533.4806062162843</v>
      </c>
      <c r="M104" s="3">
        <f>H104/D104*100</f>
        <v>1353.9851014641665</v>
      </c>
      <c r="N104">
        <v>321744</v>
      </c>
      <c r="O104" s="3">
        <v>98.117000000000004</v>
      </c>
      <c r="P104" s="2">
        <v>96.953000000000003</v>
      </c>
      <c r="Q104">
        <v>2102.0300000000002</v>
      </c>
      <c r="R104" s="1">
        <v>2.3075244106696431</v>
      </c>
      <c r="S104" s="1">
        <v>354.33</v>
      </c>
      <c r="T104" s="1">
        <v>148714.66666666666</v>
      </c>
    </row>
    <row r="105" spans="1:20" x14ac:dyDescent="0.2">
      <c r="A105" t="s">
        <v>38</v>
      </c>
      <c r="B105" s="3">
        <v>18401.626</v>
      </c>
      <c r="C105" s="3">
        <v>18857.418000000001</v>
      </c>
      <c r="D105" s="3">
        <v>97.582999999999998</v>
      </c>
      <c r="E105" s="3">
        <v>12382.494000000001</v>
      </c>
      <c r="F105" s="3">
        <v>2666.6959999999999</v>
      </c>
      <c r="G105" s="3">
        <v>8388.8979999999992</v>
      </c>
      <c r="H105" s="3">
        <v>1326.9</v>
      </c>
      <c r="I105" s="3">
        <v>12691.79</v>
      </c>
      <c r="J105" s="3">
        <f>E105/D105*100</f>
        <v>12689.191764959061</v>
      </c>
      <c r="K105" s="3">
        <f>F105/D105*100</f>
        <v>2732.7464824815797</v>
      </c>
      <c r="L105" s="3">
        <f>G105/D105*100</f>
        <v>8596.679749546538</v>
      </c>
      <c r="M105" s="3">
        <f>H105/D105*100</f>
        <v>1359.7655329309409</v>
      </c>
      <c r="N105">
        <v>322428</v>
      </c>
      <c r="O105" s="3">
        <v>98.391999999999996</v>
      </c>
      <c r="P105" s="2">
        <v>97.075999999999993</v>
      </c>
      <c r="Q105">
        <v>2026.14</v>
      </c>
      <c r="R105" s="1">
        <v>-1.8486653151588981</v>
      </c>
      <c r="S105" s="1">
        <v>359.34</v>
      </c>
      <c r="T105" s="1">
        <v>148945.66666666666</v>
      </c>
    </row>
    <row r="106" spans="1:20" x14ac:dyDescent="0.2">
      <c r="A106" t="s">
        <v>37</v>
      </c>
      <c r="B106" s="3">
        <v>18435.136999999999</v>
      </c>
      <c r="C106" s="3">
        <v>18892.205999999998</v>
      </c>
      <c r="D106" s="3">
        <v>97.581000000000003</v>
      </c>
      <c r="E106" s="3">
        <v>12423.352999999999</v>
      </c>
      <c r="F106" s="3">
        <v>2643.739</v>
      </c>
      <c r="G106" s="3">
        <v>8452.1509999999998</v>
      </c>
      <c r="H106" s="3">
        <v>1327.463</v>
      </c>
      <c r="I106" s="3">
        <v>12743.411</v>
      </c>
      <c r="J106" s="3">
        <f>E106/D106*100</f>
        <v>12731.323720806304</v>
      </c>
      <c r="K106" s="3">
        <f>F106/D106*100</f>
        <v>2709.2763960197167</v>
      </c>
      <c r="L106" s="3">
        <f>G106/D106*100</f>
        <v>8661.6769658027697</v>
      </c>
      <c r="M106" s="3">
        <f>H106/D106*100</f>
        <v>1360.3703589838185</v>
      </c>
      <c r="N106">
        <v>323110</v>
      </c>
      <c r="O106" s="3">
        <v>97.787000000000006</v>
      </c>
      <c r="P106" s="2">
        <v>97.781999999999996</v>
      </c>
      <c r="Q106">
        <v>2053.17</v>
      </c>
      <c r="R106" s="1">
        <v>-2.6589833597128698</v>
      </c>
      <c r="S106" s="1">
        <v>362.21</v>
      </c>
      <c r="T106" s="1">
        <v>149612.33333333334</v>
      </c>
    </row>
    <row r="107" spans="1:20" x14ac:dyDescent="0.2">
      <c r="A107" t="s">
        <v>36</v>
      </c>
      <c r="B107" s="3">
        <v>18525.933000000001</v>
      </c>
      <c r="C107" s="3">
        <v>19001.689999999999</v>
      </c>
      <c r="D107" s="3">
        <v>97.495999999999995</v>
      </c>
      <c r="E107" s="3">
        <v>12523.156000000001</v>
      </c>
      <c r="F107" s="3">
        <v>2632.8739999999998</v>
      </c>
      <c r="G107" s="3">
        <v>8551.6280000000006</v>
      </c>
      <c r="H107" s="3">
        <v>1338.655</v>
      </c>
      <c r="I107" s="3">
        <v>12839.618</v>
      </c>
      <c r="J107" s="3">
        <f>E107/D107*100</f>
        <v>12844.789529826867</v>
      </c>
      <c r="K107" s="3">
        <f>F107/D107*100</f>
        <v>2700.4943792565846</v>
      </c>
      <c r="L107" s="3">
        <f>G107/D107*100</f>
        <v>8771.2603593993608</v>
      </c>
      <c r="M107" s="3">
        <f>H107/D107*100</f>
        <v>1373.0358168540247</v>
      </c>
      <c r="N107">
        <v>323689</v>
      </c>
      <c r="O107" s="3">
        <v>98.204999999999998</v>
      </c>
      <c r="P107" s="2">
        <v>98.03</v>
      </c>
      <c r="Q107">
        <v>1948.3233333333335</v>
      </c>
      <c r="R107" s="1">
        <v>2.4579623039805245</v>
      </c>
      <c r="S107" s="1">
        <v>365.55</v>
      </c>
      <c r="T107" s="1">
        <v>150936.66666666666</v>
      </c>
    </row>
    <row r="108" spans="1:20" x14ac:dyDescent="0.2">
      <c r="A108" t="s">
        <v>35</v>
      </c>
      <c r="B108" s="3">
        <v>18711.702000000001</v>
      </c>
      <c r="C108" s="3">
        <v>19062.708999999999</v>
      </c>
      <c r="D108" s="3">
        <v>98.159000000000006</v>
      </c>
      <c r="E108" s="3">
        <v>12665.124</v>
      </c>
      <c r="F108" s="3">
        <v>2677.922</v>
      </c>
      <c r="G108" s="3">
        <v>8641.2999999999993</v>
      </c>
      <c r="H108" s="3">
        <v>1345.902</v>
      </c>
      <c r="I108" s="3">
        <v>12903.306</v>
      </c>
      <c r="J108" s="3">
        <f>E108/D108*100</f>
        <v>12902.662007559164</v>
      </c>
      <c r="K108" s="3">
        <f>F108/D108*100</f>
        <v>2728.1471897635465</v>
      </c>
      <c r="L108" s="3">
        <f>G108/D108*100</f>
        <v>8803.3700424820927</v>
      </c>
      <c r="M108" s="3">
        <f>H108/D108*100</f>
        <v>1371.1447753135219</v>
      </c>
      <c r="N108">
        <v>324265</v>
      </c>
      <c r="O108" s="3">
        <v>98.266999999999996</v>
      </c>
      <c r="P108" s="2">
        <v>98.281000000000006</v>
      </c>
      <c r="Q108">
        <v>2074.9933333333333</v>
      </c>
      <c r="R108" s="1">
        <v>-3.5651126717061192</v>
      </c>
      <c r="S108" s="1">
        <v>372.36</v>
      </c>
      <c r="T108" s="1">
        <v>151143</v>
      </c>
    </row>
    <row r="109" spans="1:20" x14ac:dyDescent="0.2">
      <c r="A109" t="s">
        <v>34</v>
      </c>
      <c r="B109" s="3">
        <v>18892.638999999999</v>
      </c>
      <c r="C109" s="3">
        <v>19197.937999999998</v>
      </c>
      <c r="D109" s="3">
        <v>98.41</v>
      </c>
      <c r="E109" s="3">
        <v>12797.126</v>
      </c>
      <c r="F109" s="3">
        <v>2684.4490000000001</v>
      </c>
      <c r="G109" s="3">
        <v>8746.357</v>
      </c>
      <c r="H109" s="3">
        <v>1366.32</v>
      </c>
      <c r="I109" s="3">
        <v>12993.064</v>
      </c>
      <c r="J109" s="3">
        <f>E109/D109*100</f>
        <v>13003.887816278833</v>
      </c>
      <c r="K109" s="3">
        <f>F109/D109*100</f>
        <v>2727.8213596179253</v>
      </c>
      <c r="L109" s="3">
        <f>G109/D109*100</f>
        <v>8887.6709683975205</v>
      </c>
      <c r="M109" s="3">
        <f>H109/D109*100</f>
        <v>1388.3954882633877</v>
      </c>
      <c r="N109">
        <v>324926</v>
      </c>
      <c r="O109" s="3">
        <v>98.602999999999994</v>
      </c>
      <c r="P109" s="2">
        <v>98.760999999999996</v>
      </c>
      <c r="Q109">
        <v>2159.1800000000003</v>
      </c>
      <c r="R109" s="1">
        <v>1.6813077273860806</v>
      </c>
      <c r="S109" s="1">
        <v>379.02</v>
      </c>
      <c r="T109" s="1">
        <v>151698</v>
      </c>
    </row>
    <row r="110" spans="1:20" x14ac:dyDescent="0.2">
      <c r="A110" t="s">
        <v>33</v>
      </c>
      <c r="B110" s="3">
        <v>19089.379000000001</v>
      </c>
      <c r="C110" s="3">
        <v>19304.351999999999</v>
      </c>
      <c r="D110" s="3">
        <v>98.885999999999996</v>
      </c>
      <c r="E110" s="3">
        <v>12921.989</v>
      </c>
      <c r="F110" s="3">
        <v>2710.9180000000001</v>
      </c>
      <c r="G110" s="3">
        <v>8835.9660000000003</v>
      </c>
      <c r="H110" s="3">
        <v>1375.105</v>
      </c>
      <c r="I110" s="3">
        <v>13060.061</v>
      </c>
      <c r="J110" s="3">
        <f>E110/D110*100</f>
        <v>13067.561636632081</v>
      </c>
      <c r="K110" s="3">
        <f>F110/D110*100</f>
        <v>2741.4578403414034</v>
      </c>
      <c r="L110" s="3">
        <f>G110/D110*100</f>
        <v>8935.5075541532678</v>
      </c>
      <c r="M110" s="3">
        <f>H110/D110*100</f>
        <v>1390.5962421374109</v>
      </c>
      <c r="N110">
        <v>325557</v>
      </c>
      <c r="O110" s="3">
        <v>99.271000000000001</v>
      </c>
      <c r="P110" s="2">
        <v>98.847999999999999</v>
      </c>
      <c r="Q110">
        <v>2184.88</v>
      </c>
      <c r="R110" s="1">
        <v>1.6053167245200262</v>
      </c>
      <c r="S110" s="1">
        <v>381.94</v>
      </c>
      <c r="T110" s="1">
        <v>151968</v>
      </c>
    </row>
    <row r="111" spans="1:20" x14ac:dyDescent="0.2">
      <c r="A111" t="s">
        <v>32</v>
      </c>
      <c r="B111" s="3">
        <v>19280.083999999999</v>
      </c>
      <c r="C111" s="3">
        <v>19398.343000000001</v>
      </c>
      <c r="D111" s="3">
        <v>99.39</v>
      </c>
      <c r="E111" s="3">
        <v>13097.306</v>
      </c>
      <c r="F111" s="3">
        <v>2759.7840000000001</v>
      </c>
      <c r="G111" s="3">
        <v>8952.4330000000009</v>
      </c>
      <c r="H111" s="3">
        <v>1385.09</v>
      </c>
      <c r="I111" s="3">
        <v>13160.475</v>
      </c>
      <c r="J111" s="3">
        <f>E111/D111*100</f>
        <v>13177.689908441494</v>
      </c>
      <c r="K111" s="3">
        <f>F111/D111*100</f>
        <v>2776.7220042257773</v>
      </c>
      <c r="L111" s="3">
        <f>G111/D111*100</f>
        <v>9007.3780058355987</v>
      </c>
      <c r="M111" s="3">
        <f>H111/D111*100</f>
        <v>1393.590904517557</v>
      </c>
      <c r="N111">
        <v>326053</v>
      </c>
      <c r="O111" s="3">
        <v>99.432000000000002</v>
      </c>
      <c r="P111" s="2">
        <v>99.194000000000003</v>
      </c>
      <c r="Q111">
        <v>2323.9500000000003</v>
      </c>
      <c r="R111" s="1">
        <v>1.6183272803000515</v>
      </c>
      <c r="S111" s="1">
        <v>384.62</v>
      </c>
      <c r="T111" s="1">
        <v>152565.66666666666</v>
      </c>
    </row>
    <row r="112" spans="1:20" x14ac:dyDescent="0.2">
      <c r="A112" t="s">
        <v>31</v>
      </c>
      <c r="B112" s="3">
        <v>19438.643</v>
      </c>
      <c r="C112" s="3">
        <v>19506.949000000001</v>
      </c>
      <c r="D112" s="3">
        <v>99.65</v>
      </c>
      <c r="E112" s="3">
        <v>13188.73</v>
      </c>
      <c r="F112" s="3">
        <v>2768.6260000000002</v>
      </c>
      <c r="G112" s="3">
        <v>9025.7119999999995</v>
      </c>
      <c r="H112" s="3">
        <v>1394.3920000000001</v>
      </c>
      <c r="I112" s="3">
        <v>13225.743</v>
      </c>
      <c r="J112" s="3">
        <f>E112/D112*100</f>
        <v>13235.052684395381</v>
      </c>
      <c r="K112" s="3">
        <f>F112/D112*100</f>
        <v>2778.350225790266</v>
      </c>
      <c r="L112" s="3">
        <f>G112/D112*100</f>
        <v>9057.4129453085789</v>
      </c>
      <c r="M112" s="3">
        <f>H112/D112*100</f>
        <v>1399.2895132965377</v>
      </c>
      <c r="N112">
        <v>326554</v>
      </c>
      <c r="O112" s="3">
        <v>99.484999999999999</v>
      </c>
      <c r="P112" s="2">
        <v>99.822999999999993</v>
      </c>
      <c r="Q112">
        <v>2396.2166666666667</v>
      </c>
      <c r="R112" s="1">
        <v>-1.4757896286003318</v>
      </c>
      <c r="S112" s="1">
        <v>393.22</v>
      </c>
      <c r="T112" s="1">
        <v>153214</v>
      </c>
    </row>
    <row r="113" spans="1:20" x14ac:dyDescent="0.2">
      <c r="A113" t="s">
        <v>30</v>
      </c>
      <c r="B113" s="3">
        <v>19692.595000000001</v>
      </c>
      <c r="C113" s="3">
        <v>19660.766</v>
      </c>
      <c r="D113" s="3">
        <v>100.16200000000001</v>
      </c>
      <c r="E113" s="3">
        <v>13325.065000000001</v>
      </c>
      <c r="F113" s="3">
        <v>2798.223</v>
      </c>
      <c r="G113" s="3">
        <v>9109.0360000000001</v>
      </c>
      <c r="H113" s="3">
        <v>1417.806</v>
      </c>
      <c r="I113" s="3">
        <v>13315.382</v>
      </c>
      <c r="J113" s="3">
        <f>E113/D113*100</f>
        <v>13303.513308440328</v>
      </c>
      <c r="K113" s="3">
        <f>F113/D113*100</f>
        <v>2793.6972105189589</v>
      </c>
      <c r="L113" s="3">
        <f>G113/D113*100</f>
        <v>9094.3032287693932</v>
      </c>
      <c r="M113" s="3">
        <f>H113/D113*100</f>
        <v>1415.5128691519737</v>
      </c>
      <c r="N113">
        <v>327140</v>
      </c>
      <c r="O113" s="3">
        <v>100.294</v>
      </c>
      <c r="P113" s="2">
        <v>100.05</v>
      </c>
      <c r="Q113">
        <v>2467.7199999999998</v>
      </c>
      <c r="R113" s="1">
        <v>2.1002393383002973</v>
      </c>
      <c r="S113" s="1">
        <v>399.28</v>
      </c>
      <c r="T113" s="1">
        <v>153786</v>
      </c>
    </row>
    <row r="114" spans="1:20" x14ac:dyDescent="0.2">
      <c r="A114" t="s">
        <v>29</v>
      </c>
      <c r="B114" s="3">
        <v>20037.088</v>
      </c>
      <c r="C114" s="3">
        <v>19882.351999999999</v>
      </c>
      <c r="D114" s="3">
        <v>100.77800000000001</v>
      </c>
      <c r="E114" s="3">
        <v>13551.401</v>
      </c>
      <c r="F114" s="3">
        <v>2858.5819999999999</v>
      </c>
      <c r="G114" s="3">
        <v>9226.4639999999999</v>
      </c>
      <c r="H114" s="3">
        <v>1466.355</v>
      </c>
      <c r="I114" s="3">
        <v>13460.902</v>
      </c>
      <c r="J114" s="3">
        <f>E114/D114*100</f>
        <v>13446.785012601955</v>
      </c>
      <c r="K114" s="3">
        <f>F114/D114*100</f>
        <v>2836.5139216892571</v>
      </c>
      <c r="L114" s="3">
        <f>G114/D114*100</f>
        <v>9155.2362618825518</v>
      </c>
      <c r="M114" s="3">
        <f>H114/D114*100</f>
        <v>1455.0348290301454</v>
      </c>
      <c r="N114">
        <v>327692</v>
      </c>
      <c r="O114" s="3">
        <v>101.032</v>
      </c>
      <c r="P114" s="2">
        <v>100.67700000000001</v>
      </c>
      <c r="Q114">
        <v>2604.9833333333336</v>
      </c>
      <c r="R114" s="1">
        <v>1.5689432619494534</v>
      </c>
      <c r="S114" s="1">
        <v>402.59</v>
      </c>
      <c r="T114" s="1">
        <v>153772.66666666666</v>
      </c>
    </row>
    <row r="115" spans="1:20" x14ac:dyDescent="0.2">
      <c r="A115" t="s">
        <v>28</v>
      </c>
      <c r="B115" s="3">
        <v>20328.553</v>
      </c>
      <c r="C115" s="3">
        <v>20044.077000000001</v>
      </c>
      <c r="D115" s="3">
        <v>101.419</v>
      </c>
      <c r="E115" s="3">
        <v>13745.074000000001</v>
      </c>
      <c r="F115" s="3">
        <v>2904.59</v>
      </c>
      <c r="G115" s="3">
        <v>9357.152</v>
      </c>
      <c r="H115" s="3">
        <v>1483.3330000000001</v>
      </c>
      <c r="I115" s="3">
        <v>13558.373</v>
      </c>
      <c r="J115" s="3">
        <f>E115/D115*100</f>
        <v>13552.760330904468</v>
      </c>
      <c r="K115" s="3">
        <f>F115/D115*100</f>
        <v>2863.9505418116923</v>
      </c>
      <c r="L115" s="3">
        <f>G115/D115*100</f>
        <v>9226.2317711671385</v>
      </c>
      <c r="M115" s="3">
        <f>H115/D115*100</f>
        <v>1462.5790039341744</v>
      </c>
      <c r="N115">
        <v>328091</v>
      </c>
      <c r="O115" s="3">
        <v>101.35899999999999</v>
      </c>
      <c r="P115" s="2">
        <v>101.265</v>
      </c>
      <c r="Q115">
        <v>2732.5766666666664</v>
      </c>
      <c r="R115" s="1">
        <v>-0.67160437020379515</v>
      </c>
      <c r="S115" s="1">
        <v>408.22</v>
      </c>
      <c r="T115" s="1">
        <v>154945.33333333334</v>
      </c>
    </row>
    <row r="116" spans="1:20" x14ac:dyDescent="0.2">
      <c r="A116" t="s">
        <v>27</v>
      </c>
      <c r="B116" s="3">
        <v>20580.912</v>
      </c>
      <c r="C116" s="3">
        <v>20150.475999999999</v>
      </c>
      <c r="D116" s="3">
        <v>102.136</v>
      </c>
      <c r="E116" s="3">
        <v>13891.294</v>
      </c>
      <c r="F116" s="3">
        <v>2921.7620000000002</v>
      </c>
      <c r="G116" s="3">
        <v>9481.4040000000005</v>
      </c>
      <c r="H116" s="3">
        <v>1488.127</v>
      </c>
      <c r="I116" s="3">
        <v>13630.967000000001</v>
      </c>
      <c r="J116" s="3">
        <f>E116/D116*100</f>
        <v>13600.781311192921</v>
      </c>
      <c r="K116" s="3">
        <f>F116/D116*100</f>
        <v>2860.658337902405</v>
      </c>
      <c r="L116" s="3">
        <f>G116/D116*100</f>
        <v>9283.1166288086479</v>
      </c>
      <c r="M116" s="3">
        <f>H116/D116*100</f>
        <v>1457.0053653951595</v>
      </c>
      <c r="N116">
        <v>328526</v>
      </c>
      <c r="O116" s="3">
        <v>101.371</v>
      </c>
      <c r="P116" s="2">
        <v>101.762</v>
      </c>
      <c r="Q116">
        <v>2703.1566666666663</v>
      </c>
      <c r="R116" s="1">
        <v>-1.1324761611228564</v>
      </c>
      <c r="S116" s="1">
        <v>415.71</v>
      </c>
      <c r="T116" s="1">
        <v>155575.33333333334</v>
      </c>
    </row>
    <row r="117" spans="1:20" x14ac:dyDescent="0.2">
      <c r="A117" t="s">
        <v>26</v>
      </c>
      <c r="B117" s="3">
        <v>20798.73</v>
      </c>
      <c r="C117" s="3">
        <v>20276.153999999999</v>
      </c>
      <c r="D117" s="3">
        <v>102.577</v>
      </c>
      <c r="E117" s="3">
        <v>14002.199000000001</v>
      </c>
      <c r="F117" s="3">
        <v>2930.8359999999998</v>
      </c>
      <c r="G117" s="3">
        <v>9579.7479999999996</v>
      </c>
      <c r="H117" s="3">
        <v>1491.615</v>
      </c>
      <c r="I117" s="3">
        <v>13693.79</v>
      </c>
      <c r="J117" s="3">
        <f>E117/D117*100</f>
        <v>13650.427483743919</v>
      </c>
      <c r="K117" s="3">
        <f>F117/D117*100</f>
        <v>2857.2058063698487</v>
      </c>
      <c r="L117" s="3">
        <f>G117/D117*100</f>
        <v>9339.0799107012281</v>
      </c>
      <c r="M117" s="3">
        <f>H117/D117*100</f>
        <v>1454.141766672841</v>
      </c>
      <c r="N117">
        <v>329040</v>
      </c>
      <c r="O117" s="3">
        <v>101.66800000000001</v>
      </c>
      <c r="P117" s="2">
        <v>102.206</v>
      </c>
      <c r="Q117">
        <v>2850.9866666666662</v>
      </c>
      <c r="R117" s="1">
        <v>3.0946680707355307</v>
      </c>
      <c r="S117" s="1">
        <v>420.8</v>
      </c>
      <c r="T117" s="1">
        <v>155888.33333333334</v>
      </c>
    </row>
    <row r="118" spans="1:20" x14ac:dyDescent="0.2">
      <c r="A118" t="s">
        <v>25</v>
      </c>
      <c r="B118" s="3">
        <v>20917.866999999998</v>
      </c>
      <c r="C118" s="3">
        <v>20304.874</v>
      </c>
      <c r="D118" s="3">
        <v>103.01900000000001</v>
      </c>
      <c r="E118" s="3">
        <v>14099.199000000001</v>
      </c>
      <c r="F118" s="3">
        <v>2944.32</v>
      </c>
      <c r="G118" s="3">
        <v>9662.6309999999994</v>
      </c>
      <c r="H118" s="3">
        <v>1492.248</v>
      </c>
      <c r="I118" s="3">
        <v>13736.572</v>
      </c>
      <c r="J118" s="3">
        <f>E118/D118*100</f>
        <v>13686.018113163589</v>
      </c>
      <c r="K118" s="3">
        <f>F118/D118*100</f>
        <v>2858.0358962909754</v>
      </c>
      <c r="L118" s="3">
        <f>G118/D118*100</f>
        <v>9379.4649530669085</v>
      </c>
      <c r="M118" s="3">
        <f>H118/D118*100</f>
        <v>1448.5172638057056</v>
      </c>
      <c r="N118">
        <v>329522</v>
      </c>
      <c r="O118" s="3">
        <v>101.486</v>
      </c>
      <c r="P118" s="2">
        <v>102.529</v>
      </c>
      <c r="Q118">
        <v>2692</v>
      </c>
      <c r="R118" s="1">
        <v>-0.58337388780862165</v>
      </c>
      <c r="S118" s="1">
        <v>422.21</v>
      </c>
      <c r="T118" s="1">
        <v>156643</v>
      </c>
    </row>
    <row r="119" spans="1:20" x14ac:dyDescent="0.2">
      <c r="A119" t="s">
        <v>24</v>
      </c>
      <c r="B119" s="3">
        <v>21111.599999999999</v>
      </c>
      <c r="C119" s="3">
        <v>20431.641</v>
      </c>
      <c r="D119" s="3">
        <v>103.328</v>
      </c>
      <c r="E119" s="3">
        <v>14150.191000000001</v>
      </c>
      <c r="F119" s="3">
        <v>2947.4479999999999</v>
      </c>
      <c r="G119" s="3">
        <v>9720.1409999999996</v>
      </c>
      <c r="H119" s="3">
        <v>1482.6010000000001</v>
      </c>
      <c r="I119" s="3">
        <v>13758.331</v>
      </c>
      <c r="J119" s="3">
        <f>E119/D119*100</f>
        <v>13694.440035614742</v>
      </c>
      <c r="K119" s="3">
        <f>F119/D119*100</f>
        <v>2852.5162589036854</v>
      </c>
      <c r="L119" s="3">
        <f>G119/D119*100</f>
        <v>9407.0735908950119</v>
      </c>
      <c r="M119" s="3">
        <f>H119/D119*100</f>
        <v>1434.8492180241562</v>
      </c>
      <c r="N119">
        <v>329868</v>
      </c>
      <c r="O119" s="3">
        <v>102.34</v>
      </c>
      <c r="P119" s="2">
        <v>102.56</v>
      </c>
      <c r="Q119">
        <v>2722.0766666666664</v>
      </c>
      <c r="R119" s="1">
        <v>5.2951054534868423</v>
      </c>
      <c r="S119" s="1">
        <v>426.96</v>
      </c>
      <c r="T119" s="1">
        <v>156683.66666666666</v>
      </c>
    </row>
    <row r="120" spans="1:20" x14ac:dyDescent="0.2">
      <c r="A120" t="s">
        <v>23</v>
      </c>
      <c r="B120" s="3">
        <v>21397.937999999998</v>
      </c>
      <c r="C120" s="3">
        <v>20602.275000000001</v>
      </c>
      <c r="D120" s="3">
        <v>103.86199999999999</v>
      </c>
      <c r="E120" s="3">
        <v>14350.662</v>
      </c>
      <c r="F120" s="3">
        <v>3010.1579999999999</v>
      </c>
      <c r="G120" s="3">
        <v>9822.6440000000002</v>
      </c>
      <c r="H120" s="3">
        <v>1517.8610000000001</v>
      </c>
      <c r="I120" s="3">
        <v>13875.705</v>
      </c>
      <c r="J120" s="3">
        <f>E120/D120*100</f>
        <v>13817.047620881556</v>
      </c>
      <c r="K120" s="3">
        <f>F120/D120*100</f>
        <v>2898.2284184783657</v>
      </c>
      <c r="L120" s="3">
        <f>G120/D120*100</f>
        <v>9457.3992413009582</v>
      </c>
      <c r="M120" s="3">
        <f>H120/D120*100</f>
        <v>1461.4209239182762</v>
      </c>
      <c r="N120">
        <v>330245</v>
      </c>
      <c r="O120" s="3">
        <v>102.971</v>
      </c>
      <c r="P120" s="2">
        <v>102.88</v>
      </c>
      <c r="Q120">
        <v>2882.8933333333334</v>
      </c>
      <c r="R120" s="1">
        <v>2.2010945714581722</v>
      </c>
      <c r="S120" s="1">
        <v>434.1</v>
      </c>
      <c r="T120" s="1">
        <v>156892.66666666666</v>
      </c>
    </row>
    <row r="121" spans="1:20" x14ac:dyDescent="0.2">
      <c r="A121" t="s">
        <v>22</v>
      </c>
      <c r="B121" s="3">
        <v>21717.170999999998</v>
      </c>
      <c r="C121" s="3">
        <v>20843.322</v>
      </c>
      <c r="D121" s="3">
        <v>104.19199999999999</v>
      </c>
      <c r="E121" s="3">
        <v>14548.281999999999</v>
      </c>
      <c r="F121" s="3">
        <v>3031.9679999999998</v>
      </c>
      <c r="G121" s="3">
        <v>9972.0869999999995</v>
      </c>
      <c r="H121" s="3">
        <v>1544.2270000000001</v>
      </c>
      <c r="I121" s="3">
        <v>14033.222</v>
      </c>
      <c r="J121" s="3">
        <f>E121/D121*100</f>
        <v>13962.95492936118</v>
      </c>
      <c r="K121" s="3">
        <f>F121/D121*100</f>
        <v>2909.9815724815726</v>
      </c>
      <c r="L121" s="3">
        <f>G121/D121*100</f>
        <v>9570.8758829852577</v>
      </c>
      <c r="M121" s="3">
        <f>H121/D121*100</f>
        <v>1482.0974738943492</v>
      </c>
      <c r="N121">
        <v>330729</v>
      </c>
      <c r="O121" s="3">
        <v>104.129</v>
      </c>
      <c r="P121" s="2">
        <v>103.175</v>
      </c>
      <c r="Q121">
        <v>2958.5892727272731</v>
      </c>
      <c r="R121" s="1">
        <v>4.516021198804169</v>
      </c>
      <c r="S121" s="1">
        <v>439.63</v>
      </c>
      <c r="T121" s="1">
        <v>157899</v>
      </c>
    </row>
    <row r="122" spans="1:20" x14ac:dyDescent="0.2">
      <c r="A122" t="s">
        <v>21</v>
      </c>
      <c r="B122" s="3">
        <v>21933.217000000001</v>
      </c>
      <c r="C122" s="3">
        <v>20985.448</v>
      </c>
      <c r="D122" s="3">
        <v>104.51600000000001</v>
      </c>
      <c r="E122" s="3">
        <v>14701.038</v>
      </c>
      <c r="F122" s="3">
        <v>3047.1190000000001</v>
      </c>
      <c r="G122" s="3">
        <v>10104.034</v>
      </c>
      <c r="H122" s="3">
        <v>1549.885</v>
      </c>
      <c r="I122" s="3">
        <v>14125.273999999999</v>
      </c>
      <c r="J122" s="3">
        <f>E122/D122*100</f>
        <v>14065.825328179417</v>
      </c>
      <c r="K122" s="3">
        <f>F122/D122*100</f>
        <v>2915.4569635271155</v>
      </c>
      <c r="L122" s="3">
        <f>G122/D122*100</f>
        <v>9667.4518733973746</v>
      </c>
      <c r="M122" s="3">
        <f>H122/D122*100</f>
        <v>1482.9164912549275</v>
      </c>
      <c r="N122">
        <v>331208</v>
      </c>
      <c r="O122" s="3">
        <v>105.10299999999999</v>
      </c>
      <c r="P122" s="2">
        <v>102.938</v>
      </c>
      <c r="Q122">
        <v>3086.444674603174</v>
      </c>
      <c r="R122" s="1">
        <v>3.1012039853029689</v>
      </c>
      <c r="S122" s="1">
        <v>443.54</v>
      </c>
      <c r="T122" s="1">
        <v>158673</v>
      </c>
    </row>
    <row r="123" spans="1:20" x14ac:dyDescent="0.2">
      <c r="A123" t="s">
        <v>20</v>
      </c>
      <c r="B123" s="3">
        <v>21751.238000000001</v>
      </c>
      <c r="C123" s="3">
        <v>20709.212</v>
      </c>
      <c r="D123" s="3">
        <v>105.032</v>
      </c>
      <c r="E123" s="3">
        <v>14503.098</v>
      </c>
      <c r="F123" s="3">
        <v>3080.6419999999998</v>
      </c>
      <c r="G123" s="3">
        <v>9937.7710000000006</v>
      </c>
      <c r="H123" s="3">
        <v>1484.6849999999999</v>
      </c>
      <c r="I123" s="3">
        <v>13887.048000000001</v>
      </c>
      <c r="J123" s="3">
        <f>E123/D123*100</f>
        <v>13808.266052250743</v>
      </c>
      <c r="K123" s="3">
        <f>F123/D123*100</f>
        <v>2933.0508797318912</v>
      </c>
      <c r="L123" s="3">
        <f>G123/D123*100</f>
        <v>9461.6602559220064</v>
      </c>
      <c r="M123" s="3">
        <f>H123/D123*100</f>
        <v>1413.5549165968466</v>
      </c>
      <c r="N123">
        <v>331545</v>
      </c>
      <c r="O123" s="3">
        <v>104.679</v>
      </c>
      <c r="P123" s="2">
        <v>101.426</v>
      </c>
      <c r="Q123">
        <v>3069.3035680109369</v>
      </c>
      <c r="R123" s="1">
        <v>-1.7577386498688057</v>
      </c>
      <c r="S123" s="1">
        <v>448.69</v>
      </c>
      <c r="T123" s="1">
        <v>157525</v>
      </c>
    </row>
    <row r="124" spans="1:20" x14ac:dyDescent="0.2">
      <c r="A124" t="s">
        <v>19</v>
      </c>
      <c r="B124" s="3">
        <v>19958.291000000001</v>
      </c>
      <c r="C124" s="3">
        <v>19077.991999999998</v>
      </c>
      <c r="D124" s="3">
        <v>104.614</v>
      </c>
      <c r="E124" s="3">
        <v>13193.297</v>
      </c>
      <c r="F124" s="3">
        <v>2932.165</v>
      </c>
      <c r="G124" s="3">
        <v>8793.9719999999998</v>
      </c>
      <c r="H124" s="3">
        <v>1467.16</v>
      </c>
      <c r="I124" s="3">
        <v>12685.319</v>
      </c>
      <c r="J124" s="3">
        <f>E124/D124*100</f>
        <v>12611.406695088612</v>
      </c>
      <c r="K124" s="3">
        <f>F124/D124*100</f>
        <v>2802.8418758483567</v>
      </c>
      <c r="L124" s="3">
        <f>G124/D124*100</f>
        <v>8406.1139044487354</v>
      </c>
      <c r="M124" s="3">
        <f>H124/D124*100</f>
        <v>1402.4509147915194</v>
      </c>
      <c r="N124">
        <v>331766</v>
      </c>
      <c r="O124" s="3">
        <v>109.773</v>
      </c>
      <c r="P124" s="2">
        <v>87.551000000000002</v>
      </c>
      <c r="Q124">
        <v>2928.7503823953825</v>
      </c>
      <c r="R124" s="1">
        <v>5.9101173300926746</v>
      </c>
      <c r="S124" s="1">
        <v>453.22</v>
      </c>
      <c r="T124" s="1">
        <v>137566.66666666666</v>
      </c>
    </row>
    <row r="125" spans="1:20" x14ac:dyDescent="0.2">
      <c r="A125" t="s">
        <v>18</v>
      </c>
      <c r="B125" s="3">
        <v>21704.437000000002</v>
      </c>
      <c r="C125" s="3">
        <v>20558.879000000001</v>
      </c>
      <c r="D125" s="3">
        <v>105.572</v>
      </c>
      <c r="E125" s="3">
        <v>14479.206</v>
      </c>
      <c r="F125" s="3">
        <v>3157.0210000000002</v>
      </c>
      <c r="G125" s="3">
        <v>9567.777</v>
      </c>
      <c r="H125" s="3">
        <v>1754.4079999999999</v>
      </c>
      <c r="I125" s="3">
        <v>13813.706</v>
      </c>
      <c r="J125" s="3">
        <f>E125/D125*100</f>
        <v>13715.005872769294</v>
      </c>
      <c r="K125" s="3">
        <f>F125/D125*100</f>
        <v>2990.3961277611488</v>
      </c>
      <c r="L125" s="3">
        <f>G125/D125*100</f>
        <v>9062.797900958587</v>
      </c>
      <c r="M125" s="3">
        <f>H125/D125*100</f>
        <v>1661.8118440495587</v>
      </c>
      <c r="N125">
        <v>331938</v>
      </c>
      <c r="O125" s="3">
        <v>111.491</v>
      </c>
      <c r="P125" s="2">
        <v>94.766999999999996</v>
      </c>
      <c r="Q125">
        <v>3321.6152525252523</v>
      </c>
      <c r="R125" s="1">
        <v>-2.0505187729087275</v>
      </c>
      <c r="S125" s="1">
        <v>461.22</v>
      </c>
      <c r="T125" s="1">
        <v>146214.66666666666</v>
      </c>
    </row>
    <row r="126" spans="1:20" x14ac:dyDescent="0.2">
      <c r="A126" t="s">
        <v>17</v>
      </c>
      <c r="B126" s="3">
        <v>22087.16</v>
      </c>
      <c r="C126" s="3">
        <v>20791.917000000001</v>
      </c>
      <c r="D126" s="3">
        <v>106.23</v>
      </c>
      <c r="E126" s="3">
        <v>14749.812</v>
      </c>
      <c r="F126" s="3">
        <v>3177.8710000000001</v>
      </c>
      <c r="G126" s="3">
        <v>9791.3940000000002</v>
      </c>
      <c r="H126" s="3">
        <v>1780.548</v>
      </c>
      <c r="I126" s="3">
        <v>14001.366</v>
      </c>
      <c r="J126" s="3">
        <f>E126/D126*100</f>
        <v>13884.789607455519</v>
      </c>
      <c r="K126" s="3">
        <f>F126/D126*100</f>
        <v>2991.5005177445169</v>
      </c>
      <c r="L126" s="3">
        <f>G126/D126*100</f>
        <v>9217.1646427562828</v>
      </c>
      <c r="M126" s="3">
        <f>H126/D126*100</f>
        <v>1676.1253883083875</v>
      </c>
      <c r="N126">
        <v>332112</v>
      </c>
      <c r="O126" s="3">
        <v>110.598</v>
      </c>
      <c r="P126" s="2">
        <v>96.831999999999994</v>
      </c>
      <c r="Q126">
        <v>3554.3346212121214</v>
      </c>
      <c r="R126" s="1">
        <v>2.9102625361209542</v>
      </c>
      <c r="S126" s="1">
        <v>471.32</v>
      </c>
      <c r="T126" s="1">
        <v>149946.66666666666</v>
      </c>
    </row>
    <row r="127" spans="1:20" x14ac:dyDescent="0.2">
      <c r="A127" t="s">
        <v>16</v>
      </c>
      <c r="B127" s="3">
        <v>22680.692999999999</v>
      </c>
      <c r="C127" s="3">
        <v>21082.133999999998</v>
      </c>
      <c r="D127" s="3">
        <v>107.583</v>
      </c>
      <c r="E127" s="3">
        <v>15255.411</v>
      </c>
      <c r="F127" s="3">
        <v>3323.2489999999998</v>
      </c>
      <c r="G127" s="3">
        <v>10020.967000000001</v>
      </c>
      <c r="H127" s="3">
        <v>1911.1949999999999</v>
      </c>
      <c r="I127" s="3">
        <v>14319.617</v>
      </c>
      <c r="J127" s="3">
        <f>E127/D127*100</f>
        <v>14180.131619307884</v>
      </c>
      <c r="K127" s="3">
        <f>F127/D127*100</f>
        <v>3089.0094159857972</v>
      </c>
      <c r="L127" s="3">
        <f>G127/D127*100</f>
        <v>9314.6380004275761</v>
      </c>
      <c r="M127" s="3">
        <f>H127/D127*100</f>
        <v>1776.4842028945093</v>
      </c>
      <c r="N127">
        <v>332056</v>
      </c>
      <c r="O127" s="3">
        <v>111.393</v>
      </c>
      <c r="P127" s="2">
        <v>97.838999999999999</v>
      </c>
      <c r="Q127">
        <v>3862.5629290617849</v>
      </c>
      <c r="R127" s="1">
        <v>-0.62991880188556104</v>
      </c>
      <c r="S127" s="1">
        <v>482.74</v>
      </c>
      <c r="T127" s="1">
        <v>150240.33333333334</v>
      </c>
    </row>
    <row r="128" spans="1:20" x14ac:dyDescent="0.2">
      <c r="A128" t="s">
        <v>15</v>
      </c>
      <c r="B128" s="3">
        <v>23425.91</v>
      </c>
      <c r="C128" s="3">
        <v>21440.929</v>
      </c>
      <c r="D128" s="3">
        <v>109.258</v>
      </c>
      <c r="E128" s="3">
        <v>16027.569</v>
      </c>
      <c r="F128" s="3">
        <v>3490.9389999999999</v>
      </c>
      <c r="G128" s="3">
        <v>10483.147000000001</v>
      </c>
      <c r="H128" s="3">
        <v>2053.4830000000002</v>
      </c>
      <c r="I128" s="3">
        <v>14820.013999999999</v>
      </c>
      <c r="J128" s="3">
        <f>E128/D128*100</f>
        <v>14669.469512529975</v>
      </c>
      <c r="K128" s="3">
        <f>F128/D128*100</f>
        <v>3195.1335371322921</v>
      </c>
      <c r="L128" s="3">
        <f>G128/D128*100</f>
        <v>9594.855296637319</v>
      </c>
      <c r="M128" s="3">
        <f>H128/D128*100</f>
        <v>1879.4806787603654</v>
      </c>
      <c r="N128">
        <v>332217</v>
      </c>
      <c r="O128" s="3">
        <v>111.625</v>
      </c>
      <c r="P128" s="2">
        <v>99.575999999999993</v>
      </c>
      <c r="Q128">
        <v>4182.5050786435795</v>
      </c>
      <c r="R128" s="1">
        <v>0.46541259086878517</v>
      </c>
      <c r="S128" s="1">
        <v>509.53</v>
      </c>
      <c r="T128" s="1">
        <v>151437.33333333334</v>
      </c>
    </row>
    <row r="129" spans="1:20" x14ac:dyDescent="0.2">
      <c r="A129" t="s">
        <v>14</v>
      </c>
      <c r="B129" s="3">
        <v>23982.379000000001</v>
      </c>
      <c r="C129" s="3">
        <v>21617.828000000001</v>
      </c>
      <c r="D129" s="3">
        <v>110.938</v>
      </c>
      <c r="E129" s="3">
        <v>16380.73</v>
      </c>
      <c r="F129" s="3">
        <v>3548.3380000000002</v>
      </c>
      <c r="G129" s="3">
        <v>10869.200999999999</v>
      </c>
      <c r="H129" s="3">
        <v>1963.191</v>
      </c>
      <c r="I129" s="3">
        <v>14943.244000000001</v>
      </c>
      <c r="J129" s="3">
        <f>E129/D129*100</f>
        <v>14765.661901242134</v>
      </c>
      <c r="K129" s="3">
        <f>F129/D129*100</f>
        <v>3198.4874434368749</v>
      </c>
      <c r="L129" s="3">
        <f>G129/D129*100</f>
        <v>9797.5454758513752</v>
      </c>
      <c r="M129" s="3">
        <f>H129/D129*100</f>
        <v>1769.628981953884</v>
      </c>
      <c r="N129">
        <v>332632</v>
      </c>
      <c r="O129" s="3">
        <v>110.94799999999999</v>
      </c>
      <c r="P129" s="2">
        <v>101.06399999999999</v>
      </c>
      <c r="Q129">
        <v>4421.1541847041844</v>
      </c>
      <c r="R129" s="1">
        <v>2.0039961540371443</v>
      </c>
      <c r="S129" s="1">
        <v>537.9</v>
      </c>
      <c r="T129" s="1">
        <v>153304.66666666666</v>
      </c>
    </row>
    <row r="130" spans="1:20" x14ac:dyDescent="0.2">
      <c r="A130" t="s">
        <v>13</v>
      </c>
      <c r="B130" s="3">
        <v>24813.599999999999</v>
      </c>
      <c r="C130" s="3">
        <v>21988.737000000001</v>
      </c>
      <c r="D130" s="3">
        <v>112.84699999999999</v>
      </c>
      <c r="E130" s="3">
        <v>16815.018</v>
      </c>
      <c r="F130" s="3">
        <v>3667.799</v>
      </c>
      <c r="G130" s="3">
        <v>11107.632</v>
      </c>
      <c r="H130" s="3">
        <v>2039.587</v>
      </c>
      <c r="I130" s="3">
        <v>15086.861999999999</v>
      </c>
      <c r="J130" s="3">
        <f>E130/D130*100</f>
        <v>14900.722216806827</v>
      </c>
      <c r="K130" s="3">
        <f>F130/D130*100</f>
        <v>3250.2405912430104</v>
      </c>
      <c r="L130" s="3">
        <f>G130/D130*100</f>
        <v>9843.090201777628</v>
      </c>
      <c r="M130" s="3">
        <f>H130/D130*100</f>
        <v>1807.3914237861886</v>
      </c>
      <c r="N130">
        <v>333105</v>
      </c>
      <c r="O130" s="3">
        <v>111.581</v>
      </c>
      <c r="P130" s="2">
        <v>102.577</v>
      </c>
      <c r="Q130">
        <v>4600.955512265512</v>
      </c>
      <c r="R130" s="1">
        <v>4.0407559945340523</v>
      </c>
      <c r="S130" s="1">
        <v>556.24</v>
      </c>
      <c r="T130" s="1">
        <v>155344.66666666666</v>
      </c>
    </row>
    <row r="131" spans="1:20" x14ac:dyDescent="0.2">
      <c r="A131" t="s">
        <v>12</v>
      </c>
      <c r="B131" s="3">
        <v>25250.347000000002</v>
      </c>
      <c r="C131" s="3">
        <v>21932.71</v>
      </c>
      <c r="D131" s="3">
        <v>115.126</v>
      </c>
      <c r="E131" s="3">
        <v>17148.996999999999</v>
      </c>
      <c r="F131" s="3">
        <v>3759.6019999999999</v>
      </c>
      <c r="G131" s="3">
        <v>11305.691999999999</v>
      </c>
      <c r="H131" s="3">
        <v>2083.703</v>
      </c>
      <c r="I131" s="3">
        <v>15100.85</v>
      </c>
      <c r="J131" s="3">
        <f>E131/D131*100</f>
        <v>14895.850633219254</v>
      </c>
      <c r="K131" s="3">
        <f>F131/D131*100</f>
        <v>3265.6411236384479</v>
      </c>
      <c r="L131" s="3">
        <f>G131/D131*100</f>
        <v>9820.2769139898883</v>
      </c>
      <c r="M131" s="3">
        <f>H131/D131*100</f>
        <v>1809.9325955909176</v>
      </c>
      <c r="N131">
        <v>333463</v>
      </c>
      <c r="O131" s="3">
        <v>110.18300000000001</v>
      </c>
      <c r="P131" s="2">
        <v>103.29600000000001</v>
      </c>
      <c r="Q131">
        <v>4467.0204145690304</v>
      </c>
      <c r="R131" s="1">
        <v>-2.8582952651602525</v>
      </c>
      <c r="S131" s="1">
        <v>576.53</v>
      </c>
      <c r="T131" s="1">
        <v>157657.66666666666</v>
      </c>
    </row>
    <row r="132" spans="1:20" x14ac:dyDescent="0.2">
      <c r="A132" t="s">
        <v>11</v>
      </c>
      <c r="B132" s="3">
        <v>25861.292000000001</v>
      </c>
      <c r="C132" s="3">
        <v>21967.044999999998</v>
      </c>
      <c r="D132" s="3">
        <v>117.72799999999999</v>
      </c>
      <c r="E132" s="3">
        <v>17606.575000000001</v>
      </c>
      <c r="F132" s="3">
        <v>3897.7339999999999</v>
      </c>
      <c r="G132" s="3">
        <v>11625.781999999999</v>
      </c>
      <c r="H132" s="3">
        <v>2083.058</v>
      </c>
      <c r="I132" s="3">
        <v>15224.357</v>
      </c>
      <c r="J132" s="3">
        <f>E132/D132*100</f>
        <v>14955.299503941291</v>
      </c>
      <c r="K132" s="3">
        <f>F132/D132*100</f>
        <v>3310.7960723022566</v>
      </c>
      <c r="L132" s="3">
        <f>G132/D132*100</f>
        <v>9875.1206170154928</v>
      </c>
      <c r="M132" s="3">
        <f>H132/D132*100</f>
        <v>1769.3819652079369</v>
      </c>
      <c r="N132">
        <v>333960</v>
      </c>
      <c r="O132" s="3">
        <v>109.366</v>
      </c>
      <c r="P132" s="2">
        <v>104.05</v>
      </c>
      <c r="Q132">
        <v>4110.2008888888886</v>
      </c>
      <c r="R132" s="1">
        <v>-2.8514575718050628</v>
      </c>
      <c r="S132" s="1">
        <v>613.79</v>
      </c>
      <c r="T132" s="1">
        <v>158110</v>
      </c>
    </row>
    <row r="133" spans="1:20" x14ac:dyDescent="0.2">
      <c r="A133" t="s">
        <v>10</v>
      </c>
      <c r="B133" s="3">
        <v>26336.304</v>
      </c>
      <c r="C133" s="3">
        <v>22125.625</v>
      </c>
      <c r="D133" s="3">
        <v>119.03100000000001</v>
      </c>
      <c r="E133" s="3">
        <v>17893.121999999999</v>
      </c>
      <c r="F133" s="3">
        <v>3889.0459999999998</v>
      </c>
      <c r="G133" s="3">
        <v>11915.374</v>
      </c>
      <c r="H133" s="3">
        <v>2088.7020000000002</v>
      </c>
      <c r="I133" s="3">
        <v>15295.828</v>
      </c>
      <c r="J133" s="3">
        <f>E133/D133*100</f>
        <v>15032.320992010484</v>
      </c>
      <c r="K133" s="3">
        <f>F133/D133*100</f>
        <v>3267.2547487629267</v>
      </c>
      <c r="L133" s="3">
        <f>G133/D133*100</f>
        <v>10010.31159949929</v>
      </c>
      <c r="M133" s="3">
        <f>H133/D133*100</f>
        <v>1754.7546437482672</v>
      </c>
      <c r="N133">
        <v>334628</v>
      </c>
      <c r="O133" s="3">
        <v>109.422</v>
      </c>
      <c r="P133" s="2">
        <v>104.747</v>
      </c>
      <c r="Q133">
        <v>3973.6043398895786</v>
      </c>
      <c r="R133" s="1">
        <v>0.87404311207819751</v>
      </c>
      <c r="S133" s="1">
        <v>623.30999999999995</v>
      </c>
      <c r="T133" s="1">
        <v>158621.66666666666</v>
      </c>
    </row>
    <row r="134" spans="1:20" x14ac:dyDescent="0.2">
      <c r="A134" t="s">
        <v>9</v>
      </c>
      <c r="B134" s="3">
        <v>26770.513999999999</v>
      </c>
      <c r="C134" s="3">
        <v>22278.345000000001</v>
      </c>
      <c r="D134" s="3">
        <v>120.164</v>
      </c>
      <c r="E134" s="3">
        <v>18111.361000000001</v>
      </c>
      <c r="F134" s="3">
        <v>3896.5709999999999</v>
      </c>
      <c r="G134" s="3">
        <v>12158.535</v>
      </c>
      <c r="H134" s="3">
        <v>2056.2550000000001</v>
      </c>
      <c r="I134" s="3">
        <v>15326.248</v>
      </c>
      <c r="J134" s="3">
        <f>E134/D134*100</f>
        <v>15072.20215705203</v>
      </c>
      <c r="K134" s="3">
        <f>F134/D134*100</f>
        <v>3242.7107952464967</v>
      </c>
      <c r="L134" s="3">
        <f>G134/D134*100</f>
        <v>10118.28417828967</v>
      </c>
      <c r="M134" s="3">
        <f>H134/D134*100</f>
        <v>1711.2071835158617</v>
      </c>
      <c r="N134">
        <v>335349</v>
      </c>
      <c r="O134" s="3">
        <v>110.035</v>
      </c>
      <c r="P134" s="2">
        <v>104.956</v>
      </c>
      <c r="Q134">
        <v>3851.9734920634924</v>
      </c>
      <c r="R134" s="1">
        <v>-0.74645627667503089</v>
      </c>
      <c r="S134" s="1">
        <v>616.89</v>
      </c>
      <c r="T134" s="1">
        <v>158785.66666666666</v>
      </c>
    </row>
    <row r="135" spans="1:20" x14ac:dyDescent="0.2">
      <c r="A135" t="s">
        <v>8</v>
      </c>
      <c r="B135" s="3">
        <v>27216.445</v>
      </c>
      <c r="C135" s="3">
        <v>22439.607</v>
      </c>
      <c r="D135" s="3">
        <v>121.288</v>
      </c>
      <c r="E135" s="3">
        <v>18487.025000000001</v>
      </c>
      <c r="F135" s="3">
        <v>3926.87</v>
      </c>
      <c r="G135" s="3">
        <v>12418.638000000001</v>
      </c>
      <c r="H135" s="3">
        <v>2141.5169999999998</v>
      </c>
      <c r="I135" s="3">
        <v>15495.754000000001</v>
      </c>
      <c r="J135" s="3">
        <f>E135/D135*100</f>
        <v>15242.253974012268</v>
      </c>
      <c r="K135" s="3">
        <f>F135/D135*100</f>
        <v>3237.6409867422994</v>
      </c>
      <c r="L135" s="3">
        <f>G135/D135*100</f>
        <v>10238.966756810238</v>
      </c>
      <c r="M135" s="3">
        <f>H135/D135*100</f>
        <v>1765.6462304597324</v>
      </c>
      <c r="N135">
        <v>335978</v>
      </c>
      <c r="O135" s="3">
        <v>110.26900000000001</v>
      </c>
      <c r="P135" s="2">
        <v>105.47499999999999</v>
      </c>
      <c r="Q135">
        <v>4002.966789092296</v>
      </c>
      <c r="R135" s="1">
        <v>-2.0200757239264009</v>
      </c>
      <c r="S135" s="1">
        <v>620.53</v>
      </c>
      <c r="T135" s="1">
        <v>160492.66666666666</v>
      </c>
    </row>
    <row r="136" spans="1:20" x14ac:dyDescent="0.2">
      <c r="A136" t="s">
        <v>7</v>
      </c>
      <c r="B136" s="3">
        <v>27530.055</v>
      </c>
      <c r="C136" s="3">
        <v>22580.499</v>
      </c>
      <c r="D136" s="3">
        <v>121.92</v>
      </c>
      <c r="E136" s="3">
        <v>18693.128000000001</v>
      </c>
      <c r="F136" s="3">
        <v>3938.5949999999998</v>
      </c>
      <c r="G136" s="3">
        <v>12613.732</v>
      </c>
      <c r="H136" s="3">
        <v>2140.8000000000002</v>
      </c>
      <c r="I136" s="3">
        <v>15553.718999999999</v>
      </c>
      <c r="J136" s="3">
        <f>E136/D136*100</f>
        <v>15332.290026246719</v>
      </c>
      <c r="K136" s="3">
        <f>F136/D136*100</f>
        <v>3230.474901574803</v>
      </c>
      <c r="L136" s="3">
        <f>G136/D136*100</f>
        <v>10345.908792650918</v>
      </c>
      <c r="M136" s="3">
        <f>H136/D136*100</f>
        <v>1755.9055118110236</v>
      </c>
      <c r="N136">
        <v>336638</v>
      </c>
      <c r="O136" s="3">
        <v>111.36199999999999</v>
      </c>
      <c r="P136" s="2">
        <v>105.19799999999999</v>
      </c>
      <c r="Q136">
        <v>4204.3378024606973</v>
      </c>
      <c r="R136" s="1">
        <v>3.6257307317778578</v>
      </c>
      <c r="S136" s="1">
        <v>638.74</v>
      </c>
      <c r="T136" s="1">
        <v>160904</v>
      </c>
    </row>
    <row r="137" spans="1:20" x14ac:dyDescent="0.2">
      <c r="A137" t="s">
        <v>6</v>
      </c>
      <c r="B137" s="3">
        <v>28074.846000000001</v>
      </c>
      <c r="C137" s="3">
        <v>22840.989000000001</v>
      </c>
      <c r="D137" s="3">
        <v>122.914</v>
      </c>
      <c r="E137" s="3">
        <v>18961.848000000002</v>
      </c>
      <c r="F137" s="3">
        <v>4000.87</v>
      </c>
      <c r="G137" s="3">
        <v>12811.924999999999</v>
      </c>
      <c r="H137" s="3">
        <v>2149.0529999999999</v>
      </c>
      <c r="I137" s="3">
        <v>15671.906000000001</v>
      </c>
      <c r="J137" s="3">
        <f>E137/D137*100</f>
        <v>15426.922889174546</v>
      </c>
      <c r="K137" s="3">
        <f>F137/D137*100</f>
        <v>3255.01570203557</v>
      </c>
      <c r="L137" s="3">
        <f>G137/D137*100</f>
        <v>10423.487153619604</v>
      </c>
      <c r="M137" s="3">
        <f>H137/D137*100</f>
        <v>1748.4200335193711</v>
      </c>
      <c r="N137">
        <v>337443</v>
      </c>
      <c r="O137" s="3">
        <v>112.738</v>
      </c>
      <c r="P137" s="2">
        <v>105.307</v>
      </c>
      <c r="Q137">
        <v>4458.176398550725</v>
      </c>
      <c r="R137" s="1">
        <v>1.5689341978870357</v>
      </c>
      <c r="S137" s="1">
        <v>649.42999999999995</v>
      </c>
      <c r="T137" s="1">
        <v>161394</v>
      </c>
    </row>
    <row r="138" spans="1:20" x14ac:dyDescent="0.2">
      <c r="A138" t="s">
        <v>5</v>
      </c>
      <c r="B138" s="3">
        <v>28424.722000000002</v>
      </c>
      <c r="C138" s="3">
        <v>23033.78</v>
      </c>
      <c r="D138" s="3">
        <v>123.405</v>
      </c>
      <c r="E138" s="3">
        <v>19190.598999999998</v>
      </c>
      <c r="F138" s="3">
        <v>4032.1570000000002</v>
      </c>
      <c r="G138" s="3">
        <v>13025.64</v>
      </c>
      <c r="H138" s="3">
        <v>2132.8020000000001</v>
      </c>
      <c r="I138" s="3">
        <v>15789.717000000001</v>
      </c>
      <c r="J138" s="3">
        <f>E138/D138*100</f>
        <v>15550.908796240021</v>
      </c>
      <c r="K138" s="3">
        <f>F138/D138*100</f>
        <v>3267.4178517888258</v>
      </c>
      <c r="L138" s="3">
        <f>G138/D138*100</f>
        <v>10555.196304849884</v>
      </c>
      <c r="M138" s="3">
        <f>H138/D138*100</f>
        <v>1728.2946396013126</v>
      </c>
      <c r="N138">
        <v>338289</v>
      </c>
      <c r="O138" s="3">
        <v>113.83199999999999</v>
      </c>
      <c r="P138" s="2">
        <v>105.244</v>
      </c>
      <c r="Q138">
        <v>4471.5052474747472</v>
      </c>
      <c r="R138" s="1">
        <v>6.5621860604415261</v>
      </c>
      <c r="S138" s="1">
        <v>649.87</v>
      </c>
      <c r="T138" s="1">
        <v>161373</v>
      </c>
    </row>
    <row r="139" spans="1:20" x14ac:dyDescent="0.2">
      <c r="A139" t="s">
        <v>4</v>
      </c>
      <c r="B139" s="3">
        <v>28708.161</v>
      </c>
      <c r="C139" s="3">
        <v>23082.118999999999</v>
      </c>
      <c r="D139" s="3">
        <v>124.374</v>
      </c>
      <c r="E139" s="3">
        <v>19443.833999999999</v>
      </c>
      <c r="F139" s="3">
        <v>4009.9830000000002</v>
      </c>
      <c r="G139" s="3">
        <v>13307.522999999999</v>
      </c>
      <c r="H139" s="3">
        <v>2126.3270000000002</v>
      </c>
      <c r="I139" s="3">
        <v>15857.704</v>
      </c>
      <c r="J139" s="3">
        <f>E139/D139*100</f>
        <v>15633.359062183414</v>
      </c>
      <c r="K139" s="3">
        <f>F139/D139*100</f>
        <v>3224.1328573496071</v>
      </c>
      <c r="L139" s="3">
        <f>G139/D139*100</f>
        <v>10699.602006850306</v>
      </c>
      <c r="M139" s="3">
        <f>H139/D139*100</f>
        <v>1709.6233939569365</v>
      </c>
      <c r="N139">
        <v>339035</v>
      </c>
      <c r="O139" s="3">
        <v>113.902</v>
      </c>
      <c r="P139" s="2">
        <v>105.232</v>
      </c>
      <c r="Q139">
        <v>4999.3826376811594</v>
      </c>
      <c r="R139" s="1">
        <v>-0.93636207051342335</v>
      </c>
      <c r="S139" s="1">
        <v>659.33</v>
      </c>
      <c r="T139" s="1">
        <v>161226</v>
      </c>
    </row>
    <row r="140" spans="1:20" x14ac:dyDescent="0.2">
      <c r="A140" t="s">
        <v>3</v>
      </c>
      <c r="B140" s="3">
        <v>29147.044000000002</v>
      </c>
      <c r="C140" s="3">
        <v>23286.508000000002</v>
      </c>
      <c r="D140" s="3">
        <v>125.167</v>
      </c>
      <c r="E140" s="3">
        <v>19756.093000000001</v>
      </c>
      <c r="F140" s="3">
        <v>4072.5210000000002</v>
      </c>
      <c r="G140" s="3">
        <v>13531.712</v>
      </c>
      <c r="H140" s="3">
        <v>2151.86</v>
      </c>
      <c r="I140" s="3">
        <v>16009.637000000001</v>
      </c>
      <c r="J140" s="3">
        <f>E140/D140*100</f>
        <v>15783.787260220344</v>
      </c>
      <c r="K140" s="3">
        <f>F140/D140*100</f>
        <v>3253.6698970175848</v>
      </c>
      <c r="L140" s="3">
        <f>G140/D140*100</f>
        <v>10810.926202593335</v>
      </c>
      <c r="M140" s="3">
        <f>H140/D140*100</f>
        <v>1719.1911606094259</v>
      </c>
      <c r="N140">
        <v>339830</v>
      </c>
      <c r="O140" s="3">
        <v>114.947</v>
      </c>
      <c r="P140" s="2">
        <v>105.29900000000001</v>
      </c>
      <c r="Q140">
        <v>5254.2862360446561</v>
      </c>
      <c r="R140" s="1">
        <v>0.25285163012785628</v>
      </c>
      <c r="S140" s="1">
        <v>675.22</v>
      </c>
      <c r="T140" s="1">
        <v>161256.66666666666</v>
      </c>
    </row>
    <row r="141" spans="1:20" x14ac:dyDescent="0.2">
      <c r="A141" t="s">
        <v>2</v>
      </c>
      <c r="B141" s="3">
        <v>29511.664000000001</v>
      </c>
      <c r="C141" s="3">
        <v>23478.57</v>
      </c>
      <c r="D141" s="3">
        <v>125.696</v>
      </c>
      <c r="E141" s="3">
        <v>20032.817999999999</v>
      </c>
      <c r="F141" s="3">
        <v>4107.6170000000002</v>
      </c>
      <c r="G141" s="3">
        <v>13741.267</v>
      </c>
      <c r="H141" s="3">
        <v>2183.9340000000002</v>
      </c>
      <c r="I141" s="3">
        <v>16165.768</v>
      </c>
      <c r="J141" s="3">
        <f>E141/D141*100</f>
        <v>15937.514320264765</v>
      </c>
      <c r="K141" s="3">
        <f>F141/D141*100</f>
        <v>3267.8979442464361</v>
      </c>
      <c r="L141" s="3">
        <f>G141/D141*100</f>
        <v>10932.143425407332</v>
      </c>
      <c r="M141" s="3">
        <f>H141/D141*100</f>
        <v>1737.4729506109982</v>
      </c>
      <c r="N141">
        <v>340512</v>
      </c>
      <c r="O141" s="3">
        <v>115.989</v>
      </c>
      <c r="P141" s="2">
        <v>105.346</v>
      </c>
      <c r="Q141">
        <v>5545.8265303030303</v>
      </c>
      <c r="R141" s="1">
        <v>1.6666144764919042</v>
      </c>
      <c r="S141" s="1">
        <v>682.41</v>
      </c>
      <c r="T141" s="1">
        <v>161513</v>
      </c>
    </row>
    <row r="142" spans="1:20" x14ac:dyDescent="0.2">
      <c r="A142" t="s">
        <v>1</v>
      </c>
      <c r="B142" s="3">
        <v>29825.182000000001</v>
      </c>
      <c r="C142" s="3">
        <v>23586.542000000001</v>
      </c>
      <c r="D142" s="3">
        <v>126.45</v>
      </c>
      <c r="E142" s="3">
        <v>20351.292000000001</v>
      </c>
      <c r="F142" s="3">
        <v>4143.6589999999997</v>
      </c>
      <c r="G142" s="3">
        <v>13957.415999999999</v>
      </c>
      <c r="H142" s="3">
        <v>2250.2179999999998</v>
      </c>
      <c r="I142" s="3">
        <v>16320.89</v>
      </c>
      <c r="J142" s="3">
        <f>E142/D142*100</f>
        <v>16094.339264531436</v>
      </c>
      <c r="K142" s="3">
        <f>F142/D142*100</f>
        <v>3276.914986160537</v>
      </c>
      <c r="L142" s="3">
        <f>G142/D142*100</f>
        <v>11037.893238434162</v>
      </c>
      <c r="M142" s="3">
        <f>H142/D142*100</f>
        <v>1779.5318307631471</v>
      </c>
      <c r="N142">
        <v>341005</v>
      </c>
      <c r="O142" s="3">
        <v>116.39400000000001</v>
      </c>
      <c r="P142" s="2">
        <v>105.428</v>
      </c>
      <c r="Q142">
        <v>5911.048045548654</v>
      </c>
      <c r="R142" s="1">
        <v>0.19756166956319832</v>
      </c>
      <c r="S142" s="1">
        <v>685.93</v>
      </c>
      <c r="T142" s="1">
        <v>161396.33333333334</v>
      </c>
    </row>
    <row r="143" spans="1:20" x14ac:dyDescent="0.2">
      <c r="A143" t="s">
        <v>0</v>
      </c>
      <c r="B143" s="3">
        <v>30042.113000000001</v>
      </c>
      <c r="C143" s="3">
        <v>23548.21</v>
      </c>
      <c r="D143" s="3">
        <v>127.577</v>
      </c>
      <c r="E143" s="3">
        <v>20554.984</v>
      </c>
      <c r="F143" s="3">
        <v>4196.4830000000002</v>
      </c>
      <c r="G143" s="3">
        <v>14122.683000000001</v>
      </c>
      <c r="H143" s="3">
        <v>2235.819</v>
      </c>
      <c r="I143" s="3">
        <v>16345.793</v>
      </c>
      <c r="J143" s="3">
        <f>E143/D143*100</f>
        <v>16111.825799321196</v>
      </c>
      <c r="K143" s="3">
        <f>F143/D143*100</f>
        <v>3289.3726925699775</v>
      </c>
      <c r="L143" s="3">
        <f>G143/D143*100</f>
        <v>11069.928748912424</v>
      </c>
      <c r="M143" s="3">
        <f>H143/D143*100</f>
        <v>1752.5251416791427</v>
      </c>
      <c r="N143">
        <v>341381</v>
      </c>
      <c r="O143" s="3">
        <v>116.127</v>
      </c>
      <c r="P143" s="2">
        <v>105.43300000000001</v>
      </c>
      <c r="Q143">
        <v>5900.7296111111109</v>
      </c>
      <c r="R143" s="1">
        <v>-2.8216152035003823</v>
      </c>
      <c r="S143" s="1">
        <v>691.36</v>
      </c>
      <c r="T143" s="1">
        <v>163559.33333333334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7D3A-C401-704A-B074-1B85DF18AA6E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Tabelle7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孙颖</dc:creator>
  <cp:lastModifiedBy>孙颖</cp:lastModifiedBy>
  <dcterms:created xsi:type="dcterms:W3CDTF">2026-03-29T20:17:41Z</dcterms:created>
  <dcterms:modified xsi:type="dcterms:W3CDTF">2026-03-29T20:18:55Z</dcterms:modified>
</cp:coreProperties>
</file>